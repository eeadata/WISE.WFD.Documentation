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positories\WISE.WFD.Documentation\docs\DataModelReview\files\"/>
    </mc:Choice>
  </mc:AlternateContent>
  <xr:revisionPtr revIDLastSave="0" documentId="8_{C86419E1-A9DB-4087-BC5D-16634B3D2571}" xr6:coauthVersionLast="47" xr6:coauthVersionMax="47" xr10:uidLastSave="{00000000-0000-0000-0000-000000000000}"/>
  <bookViews>
    <workbookView xWindow="-98" yWindow="-98" windowWidth="21795" windowHeight="13096" xr2:uid="{1FA75034-895E-4FFD-A53E-3A4DFBC3F6EC}"/>
  </bookViews>
  <sheets>
    <sheet name="Synthesis" sheetId="2" r:id="rId1"/>
    <sheet name="Text analysis" sheetId="1" r:id="rId2"/>
    <sheet name="QE with known status" sheetId="4" r:id="rId3"/>
    <sheet name="Proportion of water bodies" sheetId="5" r:id="rId4"/>
    <sheet name="Total" sheetId="6" r:id="rId5"/>
  </sheet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<sst xmlns="http://schemas.openxmlformats.org/spreadsheetml/2006/main" count="741" uniqueCount="103">
  <si>
    <t>Biological elements</t>
  </si>
  <si>
    <t>Composition and abundance of aquatic flora</t>
  </si>
  <si>
    <t>Composition and abundance of benthic invertebrate fauna</t>
  </si>
  <si>
    <t>Composition, abundance and age structure of fish fauna</t>
  </si>
  <si>
    <t>Hydromorphological elements supporting the biological elements</t>
  </si>
  <si>
    <t>Hydrological regime</t>
  </si>
  <si>
    <t>quantity and dynamics of water flow</t>
  </si>
  <si>
    <t>connection to groundwater bodies</t>
  </si>
  <si>
    <t>River continuity</t>
  </si>
  <si>
    <t>Morphological conditions</t>
  </si>
  <si>
    <t>General</t>
  </si>
  <si>
    <t>Thermal conditions</t>
  </si>
  <si>
    <t>Oxygenation conditions</t>
  </si>
  <si>
    <t>Salinity</t>
  </si>
  <si>
    <t>Acidification status</t>
  </si>
  <si>
    <t>Nutrient conditions</t>
  </si>
  <si>
    <t>Composition, abundance and biomass of phytoplankton</t>
  </si>
  <si>
    <t>residence time</t>
  </si>
  <si>
    <t>Transparency</t>
  </si>
  <si>
    <t>Tidal regime</t>
  </si>
  <si>
    <t>freshwater flow</t>
  </si>
  <si>
    <t>wave exposure</t>
  </si>
  <si>
    <t>direction of dominant currents</t>
  </si>
  <si>
    <t>QE1-1 - Phytoplankton</t>
  </si>
  <si>
    <t>QE1-2 - Other aquatic flora</t>
  </si>
  <si>
    <t>QE1-2-1 - Macroalgae</t>
  </si>
  <si>
    <t>QE1-2-2 - Angiosperms</t>
  </si>
  <si>
    <t>QE1-2-3 - Macrophytes</t>
  </si>
  <si>
    <t>QE1-2-4 - Phytobenthos</t>
  </si>
  <si>
    <t>QE1-3 - Benthic invertebrates</t>
  </si>
  <si>
    <t>QE1-4 - Fish</t>
  </si>
  <si>
    <t>QE2-1 - Hydrological or tidal regime</t>
  </si>
  <si>
    <t>QE2-2 - River continuity conditions</t>
  </si>
  <si>
    <t>QE2-3 - Morphological conditions</t>
  </si>
  <si>
    <t>QE3-1-1 - Transparency conditions</t>
  </si>
  <si>
    <t>QE3-1-2 - Thermal conditions</t>
  </si>
  <si>
    <t>QE3-1-3 - Oxygenation conditions</t>
  </si>
  <si>
    <t>QE3-1-4 - Salinity conditions</t>
  </si>
  <si>
    <t>QE3-1-5 - Acidification status</t>
  </si>
  <si>
    <t>QE3-1-6-1 - Nitrogen conditions</t>
  </si>
  <si>
    <t>QE3-1-6-2 - Phosphorus conditions</t>
  </si>
  <si>
    <t>Rivers</t>
  </si>
  <si>
    <t>Lakes</t>
  </si>
  <si>
    <t>Transitional waters</t>
  </si>
  <si>
    <t>Coastal waters</t>
  </si>
  <si>
    <t>QE2 - Hydromorphological quality elements</t>
  </si>
  <si>
    <t>notApplicable</t>
  </si>
  <si>
    <t>required</t>
  </si>
  <si>
    <t>QE3-1 - General parameters</t>
  </si>
  <si>
    <t>QE3-1-6 - Nutrient conditions</t>
  </si>
  <si>
    <t>river depth and width variation|lake depth variation|depth variation|depth variation</t>
  </si>
  <si>
    <t>structure and substrate of the river bed|quantity, structure and substrate of the lake bed|quantity, structure and substrate of the bed|structure and substrate of the coastal bed</t>
  </si>
  <si>
    <t>structure of the riparian zone|structure of the lake shore|structure of the intertidal zone|structure of the intertidal zone</t>
  </si>
  <si>
    <t>QE1 - Biological quality elements</t>
  </si>
  <si>
    <t>optional</t>
  </si>
  <si>
    <t>QE3 - Chemical and physico-chemical quality elements</t>
  </si>
  <si>
    <t>reported</t>
  </si>
  <si>
    <t>no</t>
  </si>
  <si>
    <t>yes</t>
  </si>
  <si>
    <t>«none»</t>
  </si>
  <si>
    <t>conditional</t>
  </si>
  <si>
    <t>«composite»</t>
  </si>
  <si>
    <t>WFD Annex</t>
  </si>
  <si>
    <t>WFD requirements</t>
  </si>
  <si>
    <t xml:space="preserve">at least one biological element </t>
  </si>
  <si>
    <t>phytoplankton</t>
  </si>
  <si>
    <t>at least one other aquatic flora</t>
  </si>
  <si>
    <t>macroalgae</t>
  </si>
  <si>
    <t>angiosperms</t>
  </si>
  <si>
    <t>macrophytes</t>
  </si>
  <si>
    <t>phytobenthos</t>
  </si>
  <si>
    <t>benthic invertebrates</t>
  </si>
  <si>
    <t>fish</t>
  </si>
  <si>
    <t>at least one hydromorphological element</t>
  </si>
  <si>
    <t>hydrological or tidal regime</t>
  </si>
  <si>
    <t>river continuity conditions</t>
  </si>
  <si>
    <t>morphological conditions</t>
  </si>
  <si>
    <t>at least one nutrient conditions element</t>
  </si>
  <si>
    <t>transparency</t>
  </si>
  <si>
    <t>thermal conditions</t>
  </si>
  <si>
    <t>oxygenation conditions</t>
  </si>
  <si>
    <t>salinity</t>
  </si>
  <si>
    <t>acidification status</t>
  </si>
  <si>
    <t>nitrogen conditions</t>
  </si>
  <si>
    <t>phosphorus conditions</t>
  </si>
  <si>
    <t>Proportion of water bodies</t>
  </si>
  <si>
    <t>with known status for:</t>
  </si>
  <si>
    <t>both</t>
  </si>
  <si>
    <t>derived</t>
  </si>
  <si>
    <t>TW</t>
  </si>
  <si>
    <t>QE3-3 - River Basin Specific Pollutants</t>
  </si>
  <si>
    <t>RW</t>
  </si>
  <si>
    <t>LW</t>
  </si>
  <si>
    <t>CW</t>
  </si>
  <si>
    <t>hasStatus</t>
  </si>
  <si>
    <t>nodeCount</t>
  </si>
  <si>
    <t>surfaceWaterBodyCategory</t>
  </si>
  <si>
    <t>qeCode</t>
  </si>
  <si>
    <t>Grand Total</t>
  </si>
  <si>
    <t>Row Labels</t>
  </si>
  <si>
    <t>Column Labels</t>
  </si>
  <si>
    <t>Sum of proportion</t>
  </si>
  <si>
    <t>Sum of hasStatus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</si>
</sst>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"/>
    </xf>
    <xf numFmtId="0" fontId="2" fillId="2" borderId="0" xfId="0" applyFont="1" applyFill="1" applyBorder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/>
    <xf numFmtId="0" fontId="0" fillId="2" borderId="0" xfId="0" applyFont="1" applyFill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/>
    <xf numFmtId="164" fontId="0" fillId="0" borderId="1" xfId="0" applyNumberFormat="1" applyBorder="1"/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2" borderId="4" xfId="0" applyFont="1" applyFill="1" applyBorder="1" applyAlignment="1">
      <alignment horizontal="left"/>
    </xf>
    <xf numFmtId="0" fontId="0" fillId="0" borderId="4" xfId="0" applyFont="1" applyBorder="1"/>
    <xf numFmtId="0" fontId="0" fillId="0" borderId="14" xfId="0" applyFont="1" applyBorder="1"/>
    <xf numFmtId="0" fontId="0" fillId="0" borderId="13" xfId="0" applyFont="1" applyBorder="1"/>
    <xf numFmtId="0" fontId="0" fillId="0" borderId="15" xfId="0" applyFont="1" applyBorder="1"/>
    <xf numFmtId="0" fontId="0" fillId="2" borderId="4" xfId="0" applyFont="1" applyFill="1" applyBorder="1"/>
    <xf numFmtId="0" fontId="2" fillId="2" borderId="4" xfId="0" applyFont="1" applyFill="1" applyBorder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2" fillId="0" borderId="4" xfId="0" applyFont="1" applyBorder="1" applyAlignment="1">
      <alignment horizontal="center"/>
    </xf>
    <xf numFmtId="9" fontId="2" fillId="2" borderId="4" xfId="2" applyFont="1" applyFill="1" applyBorder="1"/>
    <xf numFmtId="9" fontId="0" fillId="2" borderId="7" xfId="2" applyFont="1" applyFill="1" applyBorder="1" applyAlignment="1">
      <alignment horizontal="center"/>
    </xf>
    <xf numFmtId="9" fontId="0" fillId="2" borderId="3" xfId="2" applyFont="1" applyFill="1" applyBorder="1" applyAlignment="1">
      <alignment horizontal="center"/>
    </xf>
    <xf numFmtId="9" fontId="0" fillId="2" borderId="8" xfId="2" applyFont="1" applyFill="1" applyBorder="1" applyAlignment="1">
      <alignment horizontal="center"/>
    </xf>
    <xf numFmtId="9" fontId="0" fillId="0" borderId="4" xfId="2" applyFont="1" applyBorder="1"/>
    <xf numFmtId="9" fontId="0" fillId="0" borderId="3" xfId="2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0" fillId="0" borderId="14" xfId="2" applyFont="1" applyBorder="1"/>
    <xf numFmtId="9" fontId="0" fillId="0" borderId="9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9" fontId="0" fillId="0" borderId="13" xfId="2" applyFont="1" applyBorder="1"/>
    <xf numFmtId="9" fontId="0" fillId="0" borderId="15" xfId="2" applyFont="1" applyBorder="1"/>
    <xf numFmtId="9" fontId="0" fillId="0" borderId="5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4" fillId="3" borderId="14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4" fontId="2" fillId="2" borderId="4" xfId="1" applyNumberFormat="1" applyFont="1" applyFill="1" applyBorder="1"/>
    <xf numFmtId="164" fontId="0" fillId="2" borderId="7" xfId="1" applyNumberFormat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/>
    </xf>
    <xf numFmtId="164" fontId="0" fillId="0" borderId="4" xfId="1" applyNumberFormat="1" applyFont="1" applyBorder="1"/>
    <xf numFmtId="164" fontId="0" fillId="0" borderId="3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14" xfId="1" applyNumberFormat="1" applyFont="1" applyBorder="1"/>
    <xf numFmtId="164" fontId="0" fillId="0" borderId="9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3" xfId="1" applyNumberFormat="1" applyFont="1" applyBorder="1"/>
    <xf numFmtId="164" fontId="0" fillId="0" borderId="15" xfId="1" applyNumberFormat="1" applyFont="1" applyBorder="1"/>
    <xf numFmtId="164" fontId="0" fillId="0" borderId="5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9" fontId="0" fillId="0" borderId="0" xfId="0" applyNumberFormat="1"/>
    <xf numFmtId="9" fontId="0" fillId="0" borderId="2" xfId="0" applyNumberFormat="1" applyBorder="1"/>
    <xf numFmtId="9" fontId="0" fillId="0" borderId="1" xfId="0" applyNumberFormat="1" applyBorder="1"/>
    <xf numFmtId="9" fontId="5" fillId="0" borderId="9" xfId="2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0" fontId="0" fillId="0" borderId="0" xfId="0" pivotButton="1"/>
    <xf numFmtId="0" fontId="0" fillId="4" borderId="7" xfId="0" applyFont="1" applyFill="1" applyBorder="1" applyAlignment="1">
      <alignment horizontal="center"/>
    </xf>
    <xf numFmtId="9" fontId="0" fillId="4" borderId="7" xfId="2" applyFont="1" applyFill="1" applyBorder="1" applyAlignment="1">
      <alignment horizontal="center"/>
    </xf>
    <xf numFmtId="9" fontId="0" fillId="4" borderId="0" xfId="2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9" fontId="0" fillId="5" borderId="0" xfId="2" applyFont="1" applyFill="1" applyBorder="1" applyAlignment="1">
      <alignment horizontal="center"/>
    </xf>
    <xf numFmtId="9" fontId="0" fillId="5" borderId="10" xfId="2" applyFont="1" applyFill="1" applyBorder="1" applyAlignment="1">
      <alignment horizontal="center"/>
    </xf>
    <xf numFmtId="9" fontId="0" fillId="6" borderId="5" xfId="2" applyFont="1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9" fontId="0" fillId="6" borderId="6" xfId="2" applyFont="1" applyFill="1" applyBorder="1" applyAlignment="1">
      <alignment horizontal="center"/>
    </xf>
    <xf numFmtId="9" fontId="0" fillId="6" borderId="9" xfId="2" applyFont="1" applyFill="1" applyBorder="1" applyAlignment="1">
      <alignment horizontal="center"/>
    </xf>
    <xf numFmtId="9" fontId="0" fillId="6" borderId="0" xfId="2" applyFont="1" applyFill="1" applyBorder="1" applyAlignment="1">
      <alignment horizontal="center"/>
    </xf>
    <xf numFmtId="9" fontId="0" fillId="6" borderId="10" xfId="2" applyFont="1" applyFill="1" applyBorder="1" applyAlignment="1">
      <alignment horizontal="center"/>
    </xf>
    <xf numFmtId="9" fontId="0" fillId="6" borderId="11" xfId="2" applyFont="1" applyFill="1" applyBorder="1" applyAlignment="1">
      <alignment horizontal="center"/>
    </xf>
    <xf numFmtId="9" fontId="0" fillId="6" borderId="2" xfId="2" applyFont="1" applyFill="1" applyBorder="1" applyAlignment="1">
      <alignment horizontal="center"/>
    </xf>
    <xf numFmtId="9" fontId="0" fillId="6" borderId="12" xfId="2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6" borderId="12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164" fontId="0" fillId="6" borderId="5" xfId="1" applyNumberFormat="1" applyFont="1" applyFill="1" applyBorder="1" applyAlignment="1">
      <alignment horizontal="center"/>
    </xf>
    <xf numFmtId="164" fontId="0" fillId="6" borderId="1" xfId="1" applyNumberFormat="1" applyFont="1" applyFill="1" applyBorder="1" applyAlignment="1">
      <alignment horizontal="center"/>
    </xf>
    <xf numFmtId="164" fontId="0" fillId="6" borderId="6" xfId="1" applyNumberFormat="1" applyFont="1" applyFill="1" applyBorder="1" applyAlignment="1">
      <alignment horizontal="center"/>
    </xf>
    <xf numFmtId="164" fontId="0" fillId="6" borderId="9" xfId="1" applyNumberFormat="1" applyFont="1" applyFill="1" applyBorder="1" applyAlignment="1">
      <alignment horizontal="center"/>
    </xf>
    <xf numFmtId="164" fontId="0" fillId="6" borderId="0" xfId="1" applyNumberFormat="1" applyFont="1" applyFill="1" applyBorder="1" applyAlignment="1">
      <alignment horizontal="center"/>
    </xf>
    <xf numFmtId="164" fontId="0" fillId="6" borderId="10" xfId="1" applyNumberFormat="1" applyFont="1" applyFill="1" applyBorder="1" applyAlignment="1">
      <alignment horizontal="center"/>
    </xf>
    <xf numFmtId="164" fontId="0" fillId="6" borderId="11" xfId="1" applyNumberFormat="1" applyFont="1" applyFill="1" applyBorder="1" applyAlignment="1">
      <alignment horizontal="center"/>
    </xf>
    <xf numFmtId="164" fontId="0" fillId="6" borderId="2" xfId="1" applyNumberFormat="1" applyFont="1" applyFill="1" applyBorder="1" applyAlignment="1">
      <alignment horizontal="center"/>
    </xf>
    <xf numFmtId="164" fontId="0" fillId="6" borderId="12" xfId="1" applyNumberFormat="1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5" borderId="10" xfId="1" applyNumberFormat="1" applyFont="1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8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numFmt numFmtId="13" formatCode="0%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right/>
      </border>
    </dxf>
    <dxf>
      <border>
        <right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Nery" refreshedDate="46178.783808101849" createdVersion="7" refreshedVersion="7" minRefreshableVersion="3" recordCount="97" xr:uid="{29E23573-5D9F-40D0-BAEB-EF47FCB553A4}">
  <cacheSource type="worksheet">
    <worksheetSource ref="A1:D1048576" sheet="QE with known status"/>
  </cacheSource>
  <cacheFields count="5">
    <cacheField name="qeCode" numFmtId="0">
      <sharedItems containsBlank="1" count="25">
        <s v="QE1 - Biological quality elements"/>
        <s v="QE1-1 - Phytoplankton"/>
        <s v="QE1-2 - Other aquatic flora"/>
        <s v="QE1-2-1 - Macroalgae"/>
        <s v="QE1-2-2 - Angiosperms"/>
        <s v="QE1-2-3 - Macrophytes"/>
        <s v="QE1-2-4 - Phytobenthos"/>
        <s v="QE1-3 - Benthic invertebrates"/>
        <s v="QE1-4 - Fish"/>
        <s v="QE2 - Hydromorphological quality elements"/>
        <s v="QE2-1 - Hydrological or tidal regime"/>
        <s v="QE2-2 - River continuity conditions"/>
        <s v="QE2-3 - Morphological conditions"/>
        <s v="QE3 - Chemical and physico-chemical quality elements"/>
        <s v="QE3-1 - General parameters"/>
        <s v="QE3-1-1 - Transparency conditions"/>
        <s v="QE3-1-2 - Thermal conditions"/>
        <s v="QE3-1-3 - Oxygenation conditions"/>
        <s v="QE3-1-4 - Salinity conditions"/>
        <s v="QE3-1-5 - Acidification status"/>
        <s v="QE3-1-6 - Nutrient conditions"/>
        <s v="QE3-1-6-1 - Nitrogen conditions"/>
        <s v="QE3-1-6-2 - Phosphorus conditions"/>
        <s v="QE3-3 - River Basin Specific Pollutants"/>
        <m/>
      </sharedItems>
    </cacheField>
    <cacheField name="surfaceWaterBodyCategory" numFmtId="0">
      <sharedItems containsBlank="1" count="5">
        <s v="CW"/>
        <s v="LW"/>
        <s v="RW"/>
        <s v="TW"/>
        <m/>
      </sharedItems>
    </cacheField>
    <cacheField name="nodeCount" numFmtId="0">
      <sharedItems containsString="0" containsBlank="1" containsNumber="1" containsInteger="1" minValue="839" maxValue="105583"/>
    </cacheField>
    <cacheField name="hasStatus" numFmtId="0">
      <sharedItems containsString="0" containsBlank="1" containsNumber="1" containsInteger="1" minValue="0" maxValue="87905"/>
    </cacheField>
    <cacheField name="proportion" numFmtId="0" formula=" SUM(hasStatus ) / SUM(nodeCount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n v="4549"/>
    <n v="4121"/>
  </r>
  <r>
    <x v="0"/>
    <x v="1"/>
    <n v="21860"/>
    <n v="15643"/>
  </r>
  <r>
    <x v="0"/>
    <x v="2"/>
    <n v="105583"/>
    <n v="87905"/>
  </r>
  <r>
    <x v="0"/>
    <x v="3"/>
    <n v="839"/>
    <n v="704"/>
  </r>
  <r>
    <x v="1"/>
    <x v="0"/>
    <n v="4549"/>
    <n v="3172"/>
  </r>
  <r>
    <x v="1"/>
    <x v="1"/>
    <n v="21860"/>
    <n v="7643"/>
  </r>
  <r>
    <x v="1"/>
    <x v="2"/>
    <n v="105583"/>
    <n v="1085"/>
  </r>
  <r>
    <x v="1"/>
    <x v="3"/>
    <n v="839"/>
    <n v="440"/>
  </r>
  <r>
    <x v="2"/>
    <x v="0"/>
    <n v="4549"/>
    <n v="1144"/>
  </r>
  <r>
    <x v="2"/>
    <x v="1"/>
    <n v="21860"/>
    <n v="4498"/>
  </r>
  <r>
    <x v="2"/>
    <x v="2"/>
    <n v="105583"/>
    <n v="48050"/>
  </r>
  <r>
    <x v="2"/>
    <x v="3"/>
    <n v="839"/>
    <n v="389"/>
  </r>
  <r>
    <x v="3"/>
    <x v="0"/>
    <n v="4549"/>
    <n v="897"/>
  </r>
  <r>
    <x v="3"/>
    <x v="1"/>
    <n v="21860"/>
    <n v="23"/>
  </r>
  <r>
    <x v="3"/>
    <x v="2"/>
    <n v="105583"/>
    <n v="0"/>
  </r>
  <r>
    <x v="3"/>
    <x v="3"/>
    <n v="839"/>
    <n v="87"/>
  </r>
  <r>
    <x v="4"/>
    <x v="0"/>
    <n v="4549"/>
    <n v="635"/>
  </r>
  <r>
    <x v="4"/>
    <x v="1"/>
    <n v="21860"/>
    <n v="0"/>
  </r>
  <r>
    <x v="4"/>
    <x v="2"/>
    <n v="105583"/>
    <n v="0"/>
  </r>
  <r>
    <x v="4"/>
    <x v="3"/>
    <n v="839"/>
    <n v="80"/>
  </r>
  <r>
    <x v="5"/>
    <x v="0"/>
    <n v="4549"/>
    <n v="37"/>
  </r>
  <r>
    <x v="5"/>
    <x v="1"/>
    <n v="21860"/>
    <n v="3144"/>
  </r>
  <r>
    <x v="5"/>
    <x v="2"/>
    <n v="105583"/>
    <n v="18136"/>
  </r>
  <r>
    <x v="5"/>
    <x v="3"/>
    <n v="839"/>
    <n v="165"/>
  </r>
  <r>
    <x v="6"/>
    <x v="0"/>
    <n v="4549"/>
    <n v="3"/>
  </r>
  <r>
    <x v="6"/>
    <x v="1"/>
    <n v="21860"/>
    <n v="1134"/>
  </r>
  <r>
    <x v="6"/>
    <x v="2"/>
    <n v="105583"/>
    <n v="39836"/>
  </r>
  <r>
    <x v="6"/>
    <x v="3"/>
    <n v="839"/>
    <n v="7"/>
  </r>
  <r>
    <x v="7"/>
    <x v="0"/>
    <n v="4549"/>
    <n v="2155"/>
  </r>
  <r>
    <x v="7"/>
    <x v="1"/>
    <n v="21860"/>
    <n v="2697"/>
  </r>
  <r>
    <x v="7"/>
    <x v="2"/>
    <n v="105583"/>
    <n v="59600"/>
  </r>
  <r>
    <x v="7"/>
    <x v="3"/>
    <n v="839"/>
    <n v="449"/>
  </r>
  <r>
    <x v="8"/>
    <x v="0"/>
    <n v="4549"/>
    <n v="0"/>
  </r>
  <r>
    <x v="8"/>
    <x v="1"/>
    <n v="21860"/>
    <n v="9266"/>
  </r>
  <r>
    <x v="8"/>
    <x v="2"/>
    <n v="105583"/>
    <n v="55278"/>
  </r>
  <r>
    <x v="8"/>
    <x v="3"/>
    <n v="839"/>
    <n v="257"/>
  </r>
  <r>
    <x v="9"/>
    <x v="0"/>
    <n v="4549"/>
    <n v="1567"/>
  </r>
  <r>
    <x v="9"/>
    <x v="1"/>
    <n v="21860"/>
    <n v="11904"/>
  </r>
  <r>
    <x v="9"/>
    <x v="2"/>
    <n v="105583"/>
    <n v="55437"/>
  </r>
  <r>
    <x v="9"/>
    <x v="3"/>
    <n v="839"/>
    <n v="225"/>
  </r>
  <r>
    <x v="10"/>
    <x v="0"/>
    <n v="4549"/>
    <n v="1101"/>
  </r>
  <r>
    <x v="10"/>
    <x v="1"/>
    <n v="21860"/>
    <n v="6379"/>
  </r>
  <r>
    <x v="10"/>
    <x v="2"/>
    <n v="105583"/>
    <n v="35195"/>
  </r>
  <r>
    <x v="10"/>
    <x v="3"/>
    <n v="839"/>
    <n v="95"/>
  </r>
  <r>
    <x v="11"/>
    <x v="0"/>
    <n v="4549"/>
    <n v="667"/>
  </r>
  <r>
    <x v="11"/>
    <x v="1"/>
    <n v="21860"/>
    <n v="7301"/>
  </r>
  <r>
    <x v="11"/>
    <x v="2"/>
    <n v="105583"/>
    <n v="42191"/>
  </r>
  <r>
    <x v="11"/>
    <x v="3"/>
    <n v="839"/>
    <n v="18"/>
  </r>
  <r>
    <x v="12"/>
    <x v="0"/>
    <n v="4549"/>
    <n v="1219"/>
  </r>
  <r>
    <x v="12"/>
    <x v="1"/>
    <n v="21860"/>
    <n v="8292"/>
  </r>
  <r>
    <x v="12"/>
    <x v="2"/>
    <n v="105583"/>
    <n v="40957"/>
  </r>
  <r>
    <x v="12"/>
    <x v="3"/>
    <n v="839"/>
    <n v="189"/>
  </r>
  <r>
    <x v="13"/>
    <x v="0"/>
    <n v="4549"/>
    <n v="2630"/>
  </r>
  <r>
    <x v="13"/>
    <x v="1"/>
    <n v="21860"/>
    <n v="12571"/>
  </r>
  <r>
    <x v="13"/>
    <x v="2"/>
    <n v="105583"/>
    <n v="64882"/>
  </r>
  <r>
    <x v="13"/>
    <x v="3"/>
    <n v="839"/>
    <n v="595"/>
  </r>
  <r>
    <x v="14"/>
    <x v="0"/>
    <n v="4549"/>
    <n v="1884"/>
  </r>
  <r>
    <x v="14"/>
    <x v="1"/>
    <n v="21860"/>
    <n v="11756"/>
  </r>
  <r>
    <x v="14"/>
    <x v="2"/>
    <n v="105583"/>
    <n v="53546"/>
  </r>
  <r>
    <x v="14"/>
    <x v="3"/>
    <n v="839"/>
    <n v="539"/>
  </r>
  <r>
    <x v="15"/>
    <x v="0"/>
    <n v="4549"/>
    <n v="950"/>
  </r>
  <r>
    <x v="15"/>
    <x v="1"/>
    <n v="21860"/>
    <n v="3476"/>
  </r>
  <r>
    <x v="15"/>
    <x v="2"/>
    <n v="105583"/>
    <n v="272"/>
  </r>
  <r>
    <x v="15"/>
    <x v="3"/>
    <n v="839"/>
    <n v="156"/>
  </r>
  <r>
    <x v="16"/>
    <x v="0"/>
    <n v="4549"/>
    <n v="236"/>
  </r>
  <r>
    <x v="16"/>
    <x v="1"/>
    <n v="21860"/>
    <n v="1084"/>
  </r>
  <r>
    <x v="16"/>
    <x v="2"/>
    <n v="105583"/>
    <n v="18866"/>
  </r>
  <r>
    <x v="16"/>
    <x v="3"/>
    <n v="839"/>
    <n v="61"/>
  </r>
  <r>
    <x v="17"/>
    <x v="0"/>
    <n v="4549"/>
    <n v="1084"/>
  </r>
  <r>
    <x v="17"/>
    <x v="1"/>
    <n v="21860"/>
    <n v="3024"/>
  </r>
  <r>
    <x v="17"/>
    <x v="2"/>
    <n v="105583"/>
    <n v="37219"/>
  </r>
  <r>
    <x v="17"/>
    <x v="3"/>
    <n v="839"/>
    <n v="453"/>
  </r>
  <r>
    <x v="18"/>
    <x v="0"/>
    <n v="4549"/>
    <n v="140"/>
  </r>
  <r>
    <x v="18"/>
    <x v="1"/>
    <n v="21860"/>
    <n v="976"/>
  </r>
  <r>
    <x v="18"/>
    <x v="2"/>
    <n v="105583"/>
    <n v="12729"/>
  </r>
  <r>
    <x v="18"/>
    <x v="3"/>
    <n v="839"/>
    <n v="90"/>
  </r>
  <r>
    <x v="19"/>
    <x v="0"/>
    <n v="4549"/>
    <n v="36"/>
  </r>
  <r>
    <x v="19"/>
    <x v="1"/>
    <n v="21860"/>
    <n v="6415"/>
  </r>
  <r>
    <x v="19"/>
    <x v="2"/>
    <n v="105583"/>
    <n v="36630"/>
  </r>
  <r>
    <x v="19"/>
    <x v="3"/>
    <n v="839"/>
    <n v="80"/>
  </r>
  <r>
    <x v="20"/>
    <x v="0"/>
    <n v="4549"/>
    <n v="1549"/>
  </r>
  <r>
    <x v="20"/>
    <x v="1"/>
    <n v="21860"/>
    <n v="9526"/>
  </r>
  <r>
    <x v="20"/>
    <x v="2"/>
    <n v="105583"/>
    <n v="47131"/>
  </r>
  <r>
    <x v="20"/>
    <x v="3"/>
    <n v="839"/>
    <n v="527"/>
  </r>
  <r>
    <x v="21"/>
    <x v="0"/>
    <n v="4549"/>
    <n v="1413"/>
  </r>
  <r>
    <x v="21"/>
    <x v="1"/>
    <n v="21860"/>
    <n v="4458"/>
  </r>
  <r>
    <x v="21"/>
    <x v="2"/>
    <n v="105583"/>
    <n v="40914"/>
  </r>
  <r>
    <x v="21"/>
    <x v="3"/>
    <n v="839"/>
    <n v="458"/>
  </r>
  <r>
    <x v="22"/>
    <x v="0"/>
    <n v="4549"/>
    <n v="1360"/>
  </r>
  <r>
    <x v="22"/>
    <x v="1"/>
    <n v="21860"/>
    <n v="9325"/>
  </r>
  <r>
    <x v="22"/>
    <x v="2"/>
    <n v="105583"/>
    <n v="46068"/>
  </r>
  <r>
    <x v="22"/>
    <x v="3"/>
    <n v="839"/>
    <n v="439"/>
  </r>
  <r>
    <x v="23"/>
    <x v="0"/>
    <n v="4549"/>
    <n v="1964"/>
  </r>
  <r>
    <x v="23"/>
    <x v="1"/>
    <n v="21860"/>
    <n v="5168"/>
  </r>
  <r>
    <x v="23"/>
    <x v="2"/>
    <n v="105583"/>
    <n v="40838"/>
  </r>
  <r>
    <x v="23"/>
    <x v="3"/>
    <n v="839"/>
    <n v="417"/>
  </r>
  <r>
    <x v="2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A88C9-389D-4787-9916-84D57D6B7959}" name="PivotTable3" cacheId="26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A3:E28" firstHeaderRow="1" firstDataRow="2" firstDataCol="1"/>
  <pivotFields count="5">
    <pivotField axis="axisRow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h="1" x="24"/>
        <item t="default"/>
      </items>
    </pivotField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proportion" fld="4" baseField="0" baseItem="0" numFmtId="9"/>
  </dataFields>
  <formats count="10">
    <format dxfId="8">
      <pivotArea outline="0" collapsedLevelsAreSubtotals="1" fieldPosition="0"/>
    </format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10">
      <pivotArea dataOnly="0" labelOnly="1" fieldPosition="0">
        <references count="1">
          <reference field="0" count="1">
            <x v="1"/>
          </reference>
        </references>
      </pivotArea>
    </format>
    <format dxfId="11">
      <pivotArea collapsedLevelsAreSubtotals="1" fieldPosition="0">
        <references count="1">
          <reference field="0" count="5">
            <x v="2"/>
            <x v="3"/>
            <x v="4"/>
            <x v="5"/>
            <x v="6"/>
          </reference>
        </references>
      </pivotArea>
    </format>
    <format dxfId="12">
      <pivotArea dataOnly="0" labelOnly="1" fieldPosition="0">
        <references count="1">
          <reference field="0" count="5">
            <x v="2"/>
            <x v="3"/>
            <x v="4"/>
            <x v="5"/>
            <x v="6"/>
          </reference>
        </references>
      </pivotArea>
    </format>
    <format dxfId="13">
      <pivotArea collapsedLevelsAreSubtotals="1" fieldPosition="0">
        <references count="1">
          <reference field="0" count="1">
            <x v="7"/>
          </reference>
        </references>
      </pivotArea>
    </format>
    <format dxfId="14">
      <pivotArea dataOnly="0" labelOnly="1" fieldPosition="0">
        <references count="1">
          <reference field="0" count="1">
            <x v="7"/>
          </reference>
        </references>
      </pivotArea>
    </format>
    <format dxfId="15">
      <pivotArea dataOnly="0" fieldPosition="0">
        <references count="1">
          <reference field="0" count="3">
            <x v="10"/>
            <x v="11"/>
            <x v="12"/>
          </reference>
        </references>
      </pivotArea>
    </format>
    <format dxfId="16">
      <pivotArea collapsedLevelsAreSubtotals="1" fieldPosition="0">
        <references count="1">
          <reference field="0" count="0"/>
        </references>
      </pivotArea>
    </format>
    <format dxfId="1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491FC-DF37-43A2-8663-1497DC68DDB3}" name="PivotTable3" cacheId="2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E26" firstHeaderRow="1" firstDataRow="2" firstDataCol="1"/>
  <pivotFields count="5">
    <pivotField axis="axisRow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x="14"/>
        <item x="15"/>
        <item x="16"/>
        <item x="17"/>
        <item x="18"/>
        <item x="19"/>
        <item x="20"/>
        <item x="21"/>
        <item x="22"/>
        <item h="1" x="23"/>
        <item h="1" x="24"/>
        <item t="default"/>
      </items>
    </pivotField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hasStatus" fld="3" baseField="0" baseItem="0" numFmtId="164"/>
  </dataFields>
  <formats count="8">
    <format dxfId="0">
      <pivotArea collapsedLevelsAreSubtotals="1" fieldPosition="0">
        <references count="1">
          <reference field="0" count="1">
            <x v="1"/>
          </reference>
        </references>
      </pivotArea>
    </format>
    <format dxfId="1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collapsedLevelsAreSubtotals="1" fieldPosition="0">
        <references count="1">
          <reference field="0" count="5">
            <x v="2"/>
            <x v="3"/>
            <x v="4"/>
            <x v="5"/>
            <x v="6"/>
          </reference>
        </references>
      </pivotArea>
    </format>
    <format dxfId="3">
      <pivotArea dataOnly="0" labelOnly="1" fieldPosition="0">
        <references count="1">
          <reference field="0" count="5">
            <x v="2"/>
            <x v="3"/>
            <x v="4"/>
            <x v="5"/>
            <x v="6"/>
          </reference>
        </references>
      </pivotArea>
    </format>
    <format dxfId="4">
      <pivotArea collapsedLevelsAreSubtotals="1" fieldPosition="0">
        <references count="1">
          <reference field="0" count="1">
            <x v="7"/>
          </reference>
        </references>
      </pivotArea>
    </format>
    <format dxfId="5">
      <pivotArea dataOnly="0" labelOnly="1" fieldPosition="0">
        <references count="1">
          <reference field="0" count="1">
            <x v="7"/>
          </reference>
        </references>
      </pivotArea>
    </format>
    <format dxfId="6">
      <pivotArea dataOnly="0" fieldPosition="0">
        <references count="1">
          <reference field="0" count="3">
            <x v="10"/>
            <x v="11"/>
            <x v="12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D2F2-28F8-4BB1-803F-AF2236649DC8}">
  <dimension ref="A2:H72"/>
  <sheetViews>
    <sheetView showGridLines="0" tabSelected="1" topLeftCell="A13" zoomScale="70" zoomScaleNormal="70" workbookViewId="0">
      <selection activeCell="L22" sqref="L22"/>
    </sheetView>
  </sheetViews>
  <sheetFormatPr defaultRowHeight="15" x14ac:dyDescent="0.25"/>
  <cols>
    <col min="1" max="1" width="9.140625" style="4"/>
    <col min="2" max="2" width="40.42578125" bestFit="1" customWidth="1"/>
    <col min="3" max="6" width="16.140625" style="5" customWidth="1"/>
    <col min="7" max="7" width="8.85546875" style="23" bestFit="1" customWidth="1"/>
    <col min="8" max="8" width="60.85546875" style="11" bestFit="1" customWidth="1"/>
    <col min="9" max="9" width="5.5703125" customWidth="1"/>
  </cols>
  <sheetData>
    <row r="2" spans="1:8" x14ac:dyDescent="0.25">
      <c r="B2" s="51" t="s">
        <v>63</v>
      </c>
      <c r="C2" s="24" t="s">
        <v>41</v>
      </c>
      <c r="D2" s="16" t="s">
        <v>42</v>
      </c>
      <c r="E2" s="16" t="s">
        <v>43</v>
      </c>
      <c r="F2" s="25" t="s">
        <v>44</v>
      </c>
      <c r="G2" s="35" t="s">
        <v>56</v>
      </c>
      <c r="H2" s="40" t="s">
        <v>62</v>
      </c>
    </row>
    <row r="3" spans="1:8" x14ac:dyDescent="0.25">
      <c r="B3" s="47" t="s">
        <v>53</v>
      </c>
      <c r="C3" s="26" t="s">
        <v>47</v>
      </c>
      <c r="D3" s="19" t="s">
        <v>47</v>
      </c>
      <c r="E3" s="19" t="s">
        <v>47</v>
      </c>
      <c r="F3" s="27" t="s">
        <v>47</v>
      </c>
      <c r="G3" s="36" t="s">
        <v>57</v>
      </c>
      <c r="H3" s="41" t="s">
        <v>0</v>
      </c>
    </row>
    <row r="4" spans="1:8" x14ac:dyDescent="0.25">
      <c r="A4" s="13"/>
      <c r="B4" s="42" t="s">
        <v>23</v>
      </c>
      <c r="C4" s="102" t="s">
        <v>54</v>
      </c>
      <c r="D4" s="15" t="s">
        <v>47</v>
      </c>
      <c r="E4" s="15" t="s">
        <v>47</v>
      </c>
      <c r="F4" s="28" t="s">
        <v>47</v>
      </c>
      <c r="G4" s="37" t="s">
        <v>58</v>
      </c>
      <c r="H4" s="42" t="s">
        <v>16</v>
      </c>
    </row>
    <row r="5" spans="1:8" x14ac:dyDescent="0.25">
      <c r="A5" s="13"/>
      <c r="B5" s="43" t="s">
        <v>24</v>
      </c>
      <c r="C5" s="29" t="s">
        <v>47</v>
      </c>
      <c r="D5" s="14" t="s">
        <v>47</v>
      </c>
      <c r="E5" s="14" t="s">
        <v>47</v>
      </c>
      <c r="F5" s="30" t="s">
        <v>47</v>
      </c>
      <c r="G5" s="72" t="s">
        <v>58</v>
      </c>
      <c r="H5" s="43" t="s">
        <v>1</v>
      </c>
    </row>
    <row r="6" spans="1:8" x14ac:dyDescent="0.25">
      <c r="A6" s="13"/>
      <c r="B6" s="44" t="s">
        <v>25</v>
      </c>
      <c r="C6" s="117" t="s">
        <v>60</v>
      </c>
      <c r="D6" s="118" t="s">
        <v>60</v>
      </c>
      <c r="E6" s="118" t="s">
        <v>60</v>
      </c>
      <c r="F6" s="119" t="s">
        <v>60</v>
      </c>
      <c r="G6" s="73" t="s">
        <v>58</v>
      </c>
      <c r="H6" s="44" t="s">
        <v>59</v>
      </c>
    </row>
    <row r="7" spans="1:8" x14ac:dyDescent="0.25">
      <c r="A7" s="13"/>
      <c r="B7" s="45" t="s">
        <v>26</v>
      </c>
      <c r="C7" s="123" t="s">
        <v>60</v>
      </c>
      <c r="D7" s="124" t="s">
        <v>60</v>
      </c>
      <c r="E7" s="124" t="s">
        <v>60</v>
      </c>
      <c r="F7" s="125" t="s">
        <v>60</v>
      </c>
      <c r="G7" s="74" t="s">
        <v>58</v>
      </c>
      <c r="H7" s="45" t="s">
        <v>59</v>
      </c>
    </row>
    <row r="8" spans="1:8" x14ac:dyDescent="0.25">
      <c r="A8" s="13"/>
      <c r="B8" s="45" t="s">
        <v>27</v>
      </c>
      <c r="C8" s="123" t="s">
        <v>60</v>
      </c>
      <c r="D8" s="124" t="s">
        <v>60</v>
      </c>
      <c r="E8" s="124" t="s">
        <v>60</v>
      </c>
      <c r="F8" s="125" t="s">
        <v>60</v>
      </c>
      <c r="G8" s="74" t="s">
        <v>58</v>
      </c>
      <c r="H8" s="45" t="s">
        <v>59</v>
      </c>
    </row>
    <row r="9" spans="1:8" x14ac:dyDescent="0.25">
      <c r="A9" s="13"/>
      <c r="B9" s="43" t="s">
        <v>28</v>
      </c>
      <c r="C9" s="120" t="s">
        <v>60</v>
      </c>
      <c r="D9" s="121" t="s">
        <v>60</v>
      </c>
      <c r="E9" s="121" t="s">
        <v>60</v>
      </c>
      <c r="F9" s="122" t="s">
        <v>60</v>
      </c>
      <c r="G9" s="72" t="s">
        <v>58</v>
      </c>
      <c r="H9" s="43" t="s">
        <v>59</v>
      </c>
    </row>
    <row r="10" spans="1:8" x14ac:dyDescent="0.25">
      <c r="A10" s="13"/>
      <c r="B10" s="45" t="s">
        <v>29</v>
      </c>
      <c r="C10" s="29" t="s">
        <v>47</v>
      </c>
      <c r="D10" s="14" t="s">
        <v>47</v>
      </c>
      <c r="E10" s="14" t="s">
        <v>47</v>
      </c>
      <c r="F10" s="30" t="s">
        <v>47</v>
      </c>
      <c r="G10" s="39" t="s">
        <v>58</v>
      </c>
      <c r="H10" s="45" t="s">
        <v>2</v>
      </c>
    </row>
    <row r="11" spans="1:8" x14ac:dyDescent="0.25">
      <c r="A11" s="13"/>
      <c r="B11" s="45" t="s">
        <v>30</v>
      </c>
      <c r="C11" s="29" t="s">
        <v>47</v>
      </c>
      <c r="D11" s="14" t="s">
        <v>47</v>
      </c>
      <c r="E11" s="14" t="s">
        <v>47</v>
      </c>
      <c r="F11" s="135" t="s">
        <v>46</v>
      </c>
      <c r="G11" s="39" t="s">
        <v>58</v>
      </c>
      <c r="H11" s="45" t="s">
        <v>3</v>
      </c>
    </row>
    <row r="12" spans="1:8" x14ac:dyDescent="0.25">
      <c r="A12" s="13"/>
      <c r="B12" s="47" t="s">
        <v>45</v>
      </c>
      <c r="C12" s="26" t="s">
        <v>47</v>
      </c>
      <c r="D12" s="19" t="s">
        <v>47</v>
      </c>
      <c r="E12" s="19" t="s">
        <v>47</v>
      </c>
      <c r="F12" s="27" t="s">
        <v>47</v>
      </c>
      <c r="G12" s="36" t="s">
        <v>57</v>
      </c>
      <c r="H12" s="41" t="s">
        <v>4</v>
      </c>
    </row>
    <row r="13" spans="1:8" x14ac:dyDescent="0.25">
      <c r="B13" s="48" t="s">
        <v>31</v>
      </c>
      <c r="C13" s="24" t="s">
        <v>47</v>
      </c>
      <c r="D13" s="16" t="s">
        <v>47</v>
      </c>
      <c r="E13" s="16" t="s">
        <v>47</v>
      </c>
      <c r="F13" s="25" t="s">
        <v>47</v>
      </c>
      <c r="G13" s="35" t="s">
        <v>58</v>
      </c>
      <c r="H13" s="44" t="s">
        <v>61</v>
      </c>
    </row>
    <row r="14" spans="1:8" x14ac:dyDescent="0.25">
      <c r="B14" s="49" t="s">
        <v>32</v>
      </c>
      <c r="C14" s="31" t="s">
        <v>47</v>
      </c>
      <c r="D14" s="136" t="s">
        <v>46</v>
      </c>
      <c r="E14" s="136" t="s">
        <v>46</v>
      </c>
      <c r="F14" s="137" t="s">
        <v>46</v>
      </c>
      <c r="G14" s="39" t="s">
        <v>58</v>
      </c>
      <c r="H14" s="45" t="s">
        <v>8</v>
      </c>
    </row>
    <row r="15" spans="1:8" x14ac:dyDescent="0.25">
      <c r="B15" s="50" t="s">
        <v>33</v>
      </c>
      <c r="C15" s="32" t="s">
        <v>47</v>
      </c>
      <c r="D15" s="18" t="s">
        <v>47</v>
      </c>
      <c r="E15" s="18" t="s">
        <v>47</v>
      </c>
      <c r="F15" s="33" t="s">
        <v>47</v>
      </c>
      <c r="G15" s="38" t="s">
        <v>58</v>
      </c>
      <c r="H15" s="43" t="s">
        <v>9</v>
      </c>
    </row>
    <row r="16" spans="1:8" x14ac:dyDescent="0.25">
      <c r="B16" s="47" t="s">
        <v>48</v>
      </c>
      <c r="C16" s="26" t="s">
        <v>47</v>
      </c>
      <c r="D16" s="19" t="s">
        <v>47</v>
      </c>
      <c r="E16" s="19" t="s">
        <v>47</v>
      </c>
      <c r="F16" s="27" t="s">
        <v>47</v>
      </c>
      <c r="G16" s="36" t="s">
        <v>57</v>
      </c>
      <c r="H16" s="41" t="s">
        <v>10</v>
      </c>
    </row>
    <row r="17" spans="1:8" x14ac:dyDescent="0.25">
      <c r="B17" s="49" t="s">
        <v>34</v>
      </c>
      <c r="C17" s="136" t="s">
        <v>46</v>
      </c>
      <c r="D17" s="17" t="s">
        <v>47</v>
      </c>
      <c r="E17" s="17" t="s">
        <v>47</v>
      </c>
      <c r="F17" s="34" t="s">
        <v>47</v>
      </c>
      <c r="G17" s="39" t="s">
        <v>58</v>
      </c>
      <c r="H17" s="45" t="s">
        <v>18</v>
      </c>
    </row>
    <row r="18" spans="1:8" x14ac:dyDescent="0.25">
      <c r="B18" s="49" t="s">
        <v>35</v>
      </c>
      <c r="C18" s="31" t="s">
        <v>47</v>
      </c>
      <c r="D18" s="17" t="s">
        <v>47</v>
      </c>
      <c r="E18" s="17" t="s">
        <v>47</v>
      </c>
      <c r="F18" s="34" t="s">
        <v>47</v>
      </c>
      <c r="G18" s="39" t="s">
        <v>58</v>
      </c>
      <c r="H18" s="45" t="s">
        <v>11</v>
      </c>
    </row>
    <row r="19" spans="1:8" x14ac:dyDescent="0.25">
      <c r="B19" s="49" t="s">
        <v>36</v>
      </c>
      <c r="C19" s="31" t="s">
        <v>47</v>
      </c>
      <c r="D19" s="17" t="s">
        <v>47</v>
      </c>
      <c r="E19" s="17" t="s">
        <v>47</v>
      </c>
      <c r="F19" s="34" t="s">
        <v>47</v>
      </c>
      <c r="G19" s="39" t="s">
        <v>58</v>
      </c>
      <c r="H19" s="45" t="s">
        <v>12</v>
      </c>
    </row>
    <row r="20" spans="1:8" x14ac:dyDescent="0.25">
      <c r="B20" s="49" t="s">
        <v>37</v>
      </c>
      <c r="C20" s="31" t="s">
        <v>47</v>
      </c>
      <c r="D20" s="17" t="s">
        <v>47</v>
      </c>
      <c r="E20" s="17" t="s">
        <v>47</v>
      </c>
      <c r="F20" s="34" t="s">
        <v>47</v>
      </c>
      <c r="G20" s="39" t="s">
        <v>58</v>
      </c>
      <c r="H20" s="45" t="s">
        <v>13</v>
      </c>
    </row>
    <row r="21" spans="1:8" x14ac:dyDescent="0.25">
      <c r="B21" s="49" t="s">
        <v>38</v>
      </c>
      <c r="C21" s="31" t="s">
        <v>47</v>
      </c>
      <c r="D21" s="17" t="s">
        <v>47</v>
      </c>
      <c r="E21" s="136" t="s">
        <v>46</v>
      </c>
      <c r="F21" s="137" t="s">
        <v>46</v>
      </c>
      <c r="G21" s="39" t="s">
        <v>58</v>
      </c>
      <c r="H21" s="45" t="s">
        <v>14</v>
      </c>
    </row>
    <row r="22" spans="1:8" x14ac:dyDescent="0.25">
      <c r="A22" s="6"/>
      <c r="B22" s="47" t="s">
        <v>49</v>
      </c>
      <c r="C22" s="26" t="s">
        <v>47</v>
      </c>
      <c r="D22" s="19" t="s">
        <v>47</v>
      </c>
      <c r="E22" s="19" t="s">
        <v>47</v>
      </c>
      <c r="F22" s="27" t="s">
        <v>47</v>
      </c>
      <c r="G22" s="36" t="s">
        <v>57</v>
      </c>
      <c r="H22" s="46" t="s">
        <v>15</v>
      </c>
    </row>
    <row r="23" spans="1:8" x14ac:dyDescent="0.25">
      <c r="B23" s="48" t="s">
        <v>39</v>
      </c>
      <c r="C23" s="117" t="s">
        <v>60</v>
      </c>
      <c r="D23" s="118" t="s">
        <v>60</v>
      </c>
      <c r="E23" s="118" t="s">
        <v>60</v>
      </c>
      <c r="F23" s="119" t="s">
        <v>60</v>
      </c>
      <c r="G23" s="35" t="s">
        <v>58</v>
      </c>
      <c r="H23" s="44" t="s">
        <v>59</v>
      </c>
    </row>
    <row r="24" spans="1:8" x14ac:dyDescent="0.25">
      <c r="B24" s="50" t="s">
        <v>40</v>
      </c>
      <c r="C24" s="120" t="s">
        <v>60</v>
      </c>
      <c r="D24" s="121" t="s">
        <v>60</v>
      </c>
      <c r="E24" s="121" t="s">
        <v>60</v>
      </c>
      <c r="F24" s="122" t="s">
        <v>60</v>
      </c>
      <c r="G24" s="38" t="s">
        <v>58</v>
      </c>
      <c r="H24" s="43" t="s">
        <v>59</v>
      </c>
    </row>
    <row r="26" spans="1:8" x14ac:dyDescent="0.25">
      <c r="B26" s="51" t="s">
        <v>85</v>
      </c>
      <c r="C26" s="24" t="s">
        <v>41</v>
      </c>
      <c r="D26" s="16" t="s">
        <v>42</v>
      </c>
      <c r="E26" s="16" t="s">
        <v>43</v>
      </c>
      <c r="F26" s="25" t="s">
        <v>44</v>
      </c>
      <c r="G26" s="35" t="s">
        <v>56</v>
      </c>
      <c r="H26" s="71" t="s">
        <v>86</v>
      </c>
    </row>
    <row r="27" spans="1:8" x14ac:dyDescent="0.25">
      <c r="B27" s="52" t="s">
        <v>53</v>
      </c>
      <c r="C27" s="53">
        <v>0.83256774291315838</v>
      </c>
      <c r="D27" s="54">
        <v>0.71559926806953345</v>
      </c>
      <c r="E27" s="54">
        <v>0.83909415971394519</v>
      </c>
      <c r="F27" s="55">
        <v>0.90591338755770501</v>
      </c>
      <c r="G27" s="36" t="s">
        <v>57</v>
      </c>
      <c r="H27" s="41" t="s">
        <v>64</v>
      </c>
    </row>
    <row r="28" spans="1:8" x14ac:dyDescent="0.25">
      <c r="B28" s="56" t="s">
        <v>23</v>
      </c>
      <c r="C28" s="103">
        <v>1.0276275536781489E-2</v>
      </c>
      <c r="D28" s="57">
        <v>0.34963403476669719</v>
      </c>
      <c r="E28" s="57">
        <v>0.52443384982121577</v>
      </c>
      <c r="F28" s="58">
        <v>0.69729610903495276</v>
      </c>
      <c r="G28" s="37" t="s">
        <v>58</v>
      </c>
      <c r="H28" s="42" t="s">
        <v>65</v>
      </c>
    </row>
    <row r="29" spans="1:8" x14ac:dyDescent="0.25">
      <c r="B29" s="59" t="s">
        <v>24</v>
      </c>
      <c r="C29" s="60">
        <v>0.45509220234318026</v>
      </c>
      <c r="D29" s="61">
        <v>0.20576395242451967</v>
      </c>
      <c r="E29" s="61">
        <v>0.46364719904648388</v>
      </c>
      <c r="F29" s="62">
        <v>0.25148384260276985</v>
      </c>
      <c r="G29" s="72" t="s">
        <v>58</v>
      </c>
      <c r="H29" s="43" t="s">
        <v>66</v>
      </c>
    </row>
    <row r="30" spans="1:8" x14ac:dyDescent="0.25">
      <c r="B30" s="63" t="s">
        <v>25</v>
      </c>
      <c r="C30" s="108">
        <v>0</v>
      </c>
      <c r="D30" s="109">
        <v>1.0521500457456542E-3</v>
      </c>
      <c r="E30" s="109">
        <v>0.10369487485101311</v>
      </c>
      <c r="F30" s="110">
        <v>0.19718619476808089</v>
      </c>
      <c r="G30" s="73" t="s">
        <v>58</v>
      </c>
      <c r="H30" s="44" t="s">
        <v>67</v>
      </c>
    </row>
    <row r="31" spans="1:8" x14ac:dyDescent="0.25">
      <c r="B31" s="64" t="s">
        <v>26</v>
      </c>
      <c r="C31" s="111">
        <v>0</v>
      </c>
      <c r="D31" s="112">
        <v>0</v>
      </c>
      <c r="E31" s="112">
        <v>9.5351609058402856E-2</v>
      </c>
      <c r="F31" s="113">
        <v>0.13959111892723675</v>
      </c>
      <c r="G31" s="74" t="s">
        <v>58</v>
      </c>
      <c r="H31" s="45" t="s">
        <v>68</v>
      </c>
    </row>
    <row r="32" spans="1:8" x14ac:dyDescent="0.25">
      <c r="B32" s="64" t="s">
        <v>27</v>
      </c>
      <c r="C32" s="111">
        <v>0.17177007662218349</v>
      </c>
      <c r="D32" s="112">
        <v>0.14382433668801464</v>
      </c>
      <c r="E32" s="112">
        <v>0.19666269368295591</v>
      </c>
      <c r="F32" s="113">
        <v>8.1336557485161571E-3</v>
      </c>
      <c r="G32" s="74" t="s">
        <v>58</v>
      </c>
      <c r="H32" s="45" t="s">
        <v>69</v>
      </c>
    </row>
    <row r="33" spans="2:8" x14ac:dyDescent="0.25">
      <c r="B33" s="59" t="s">
        <v>28</v>
      </c>
      <c r="C33" s="114">
        <v>0.37729558735781327</v>
      </c>
      <c r="D33" s="115">
        <v>5.1875571820677036E-2</v>
      </c>
      <c r="E33" s="115">
        <v>8.3432657926102508E-3</v>
      </c>
      <c r="F33" s="116">
        <v>6.594856012310398E-4</v>
      </c>
      <c r="G33" s="72" t="s">
        <v>58</v>
      </c>
      <c r="H33" s="43" t="s">
        <v>70</v>
      </c>
    </row>
    <row r="34" spans="2:8" x14ac:dyDescent="0.25">
      <c r="B34" s="64" t="s">
        <v>29</v>
      </c>
      <c r="C34" s="60">
        <v>0.56448481289601549</v>
      </c>
      <c r="D34" s="61">
        <v>0.12337602927721866</v>
      </c>
      <c r="E34" s="61">
        <v>0.53516090584028608</v>
      </c>
      <c r="F34" s="62">
        <v>0.47373049021763025</v>
      </c>
      <c r="G34" s="39" t="s">
        <v>58</v>
      </c>
      <c r="H34" s="45" t="s">
        <v>71</v>
      </c>
    </row>
    <row r="35" spans="2:8" x14ac:dyDescent="0.25">
      <c r="B35" s="64" t="s">
        <v>30</v>
      </c>
      <c r="C35" s="60">
        <v>0.52355019273936143</v>
      </c>
      <c r="D35" s="61">
        <v>0.42387923147301004</v>
      </c>
      <c r="E35" s="61">
        <v>0.30631704410011917</v>
      </c>
      <c r="F35" s="107">
        <v>0</v>
      </c>
      <c r="G35" s="39" t="s">
        <v>58</v>
      </c>
      <c r="H35" s="45" t="s">
        <v>72</v>
      </c>
    </row>
    <row r="36" spans="2:8" x14ac:dyDescent="0.25">
      <c r="B36" s="52" t="s">
        <v>45</v>
      </c>
      <c r="C36" s="53">
        <v>0.52505611698853039</v>
      </c>
      <c r="D36" s="54">
        <v>0.54455626715462035</v>
      </c>
      <c r="E36" s="54">
        <v>0.26817640047675806</v>
      </c>
      <c r="F36" s="55">
        <v>0.34447131237634643</v>
      </c>
      <c r="G36" s="36" t="s">
        <v>57</v>
      </c>
      <c r="H36" s="41" t="s">
        <v>73</v>
      </c>
    </row>
    <row r="37" spans="2:8" x14ac:dyDescent="0.25">
      <c r="B37" s="63" t="s">
        <v>31</v>
      </c>
      <c r="C37" s="65">
        <v>0.3333396474811286</v>
      </c>
      <c r="D37" s="66">
        <v>0.29181152790484904</v>
      </c>
      <c r="E37" s="66">
        <v>0.11323003575685339</v>
      </c>
      <c r="F37" s="67">
        <v>0.24203121565179161</v>
      </c>
      <c r="G37" s="35" t="s">
        <v>58</v>
      </c>
      <c r="H37" s="63" t="s">
        <v>74</v>
      </c>
    </row>
    <row r="38" spans="2:8" x14ac:dyDescent="0.25">
      <c r="B38" s="64" t="s">
        <v>32</v>
      </c>
      <c r="C38" s="60">
        <v>0.39960031444456018</v>
      </c>
      <c r="D38" s="106">
        <v>0.33398902104300093</v>
      </c>
      <c r="E38" s="106">
        <v>2.1454112038140644E-2</v>
      </c>
      <c r="F38" s="107">
        <v>0.14662563200703452</v>
      </c>
      <c r="G38" s="39" t="s">
        <v>58</v>
      </c>
      <c r="H38" s="64" t="s">
        <v>75</v>
      </c>
    </row>
    <row r="39" spans="2:8" x14ac:dyDescent="0.25">
      <c r="B39" s="59" t="s">
        <v>33</v>
      </c>
      <c r="C39" s="68">
        <v>0.38791282687553869</v>
      </c>
      <c r="D39" s="69">
        <v>0.37932296431838974</v>
      </c>
      <c r="E39" s="69">
        <v>0.22526817640047675</v>
      </c>
      <c r="F39" s="70">
        <v>0.26797098263354585</v>
      </c>
      <c r="G39" s="38" t="s">
        <v>58</v>
      </c>
      <c r="H39" s="59" t="s">
        <v>76</v>
      </c>
    </row>
    <row r="40" spans="2:8" x14ac:dyDescent="0.25">
      <c r="B40" s="52" t="s">
        <v>48</v>
      </c>
      <c r="C40" s="53">
        <v>0.50714603676728265</v>
      </c>
      <c r="D40" s="54">
        <v>0.53778591033851786</v>
      </c>
      <c r="E40" s="54">
        <v>0.64243146603098922</v>
      </c>
      <c r="F40" s="55">
        <v>0.41415695757309301</v>
      </c>
      <c r="G40" s="36" t="s">
        <v>57</v>
      </c>
      <c r="H40" s="41" t="s">
        <v>10</v>
      </c>
    </row>
    <row r="41" spans="2:8" x14ac:dyDescent="0.25">
      <c r="B41" s="64" t="s">
        <v>34</v>
      </c>
      <c r="C41" s="104">
        <v>2.5761723004650368E-3</v>
      </c>
      <c r="D41" s="61">
        <v>0.15901189387008235</v>
      </c>
      <c r="E41" s="61">
        <v>0.18593563766388557</v>
      </c>
      <c r="F41" s="62">
        <v>0.20883710705649594</v>
      </c>
      <c r="G41" s="39" t="s">
        <v>58</v>
      </c>
      <c r="H41" s="45" t="s">
        <v>78</v>
      </c>
    </row>
    <row r="42" spans="2:8" x14ac:dyDescent="0.25">
      <c r="B42" s="64" t="s">
        <v>35</v>
      </c>
      <c r="C42" s="60">
        <v>0.1786840684579904</v>
      </c>
      <c r="D42" s="61">
        <v>4.9588289112534309E-2</v>
      </c>
      <c r="E42" s="61">
        <v>7.270560190703218E-2</v>
      </c>
      <c r="F42" s="62">
        <v>5.1879533963508466E-2</v>
      </c>
      <c r="G42" s="39" t="s">
        <v>58</v>
      </c>
      <c r="H42" s="45" t="s">
        <v>79</v>
      </c>
    </row>
    <row r="43" spans="2:8" x14ac:dyDescent="0.25">
      <c r="B43" s="64" t="s">
        <v>36</v>
      </c>
      <c r="C43" s="60">
        <v>0.35250940018753019</v>
      </c>
      <c r="D43" s="61">
        <v>0.1383348581884721</v>
      </c>
      <c r="E43" s="61">
        <v>0.53992848629320622</v>
      </c>
      <c r="F43" s="62">
        <v>0.23829413057814905</v>
      </c>
      <c r="G43" s="39" t="s">
        <v>58</v>
      </c>
      <c r="H43" s="45" t="s">
        <v>80</v>
      </c>
    </row>
    <row r="44" spans="2:8" x14ac:dyDescent="0.25">
      <c r="B44" s="64" t="s">
        <v>37</v>
      </c>
      <c r="C44" s="60">
        <v>0.120559180928748</v>
      </c>
      <c r="D44" s="61">
        <v>4.4647758462946018E-2</v>
      </c>
      <c r="E44" s="61">
        <v>0.10727056019070322</v>
      </c>
      <c r="F44" s="62">
        <v>3.0775994724115189E-2</v>
      </c>
      <c r="G44" s="39" t="s">
        <v>58</v>
      </c>
      <c r="H44" s="45" t="s">
        <v>81</v>
      </c>
    </row>
    <row r="45" spans="2:8" x14ac:dyDescent="0.25">
      <c r="B45" s="64" t="s">
        <v>38</v>
      </c>
      <c r="C45" s="60">
        <v>0.34693085061042023</v>
      </c>
      <c r="D45" s="61">
        <v>0.29345837145471182</v>
      </c>
      <c r="E45" s="106">
        <v>9.5351609058402856E-2</v>
      </c>
      <c r="F45" s="106">
        <v>7.9138272147724776E-3</v>
      </c>
      <c r="G45" s="39" t="s">
        <v>58</v>
      </c>
      <c r="H45" s="45" t="s">
        <v>82</v>
      </c>
    </row>
    <row r="46" spans="2:8" x14ac:dyDescent="0.25">
      <c r="B46" s="52" t="s">
        <v>49</v>
      </c>
      <c r="C46" s="53">
        <v>0.44638814960741785</v>
      </c>
      <c r="D46" s="54">
        <v>0.43577310155535226</v>
      </c>
      <c r="E46" s="54">
        <v>0.6281287246722288</v>
      </c>
      <c r="F46" s="55">
        <v>0.34051439876896022</v>
      </c>
      <c r="G46" s="36" t="s">
        <v>57</v>
      </c>
      <c r="H46" s="46" t="s">
        <v>77</v>
      </c>
    </row>
    <row r="47" spans="2:8" x14ac:dyDescent="0.25">
      <c r="B47" s="63" t="s">
        <v>39</v>
      </c>
      <c r="C47" s="108">
        <v>0.38750556434274458</v>
      </c>
      <c r="D47" s="109">
        <v>0.2039341262580055</v>
      </c>
      <c r="E47" s="109">
        <v>0.5458879618593564</v>
      </c>
      <c r="F47" s="110">
        <v>0.31061771817981976</v>
      </c>
      <c r="G47" s="35" t="s">
        <v>58</v>
      </c>
      <c r="H47" s="44" t="s">
        <v>83</v>
      </c>
    </row>
    <row r="48" spans="2:8" x14ac:dyDescent="0.25">
      <c r="B48" s="59" t="s">
        <v>40</v>
      </c>
      <c r="C48" s="114">
        <v>0.43632024094787986</v>
      </c>
      <c r="D48" s="115">
        <v>0.42657822506861848</v>
      </c>
      <c r="E48" s="115">
        <v>0.52324195470798573</v>
      </c>
      <c r="F48" s="116">
        <v>0.29896680589140473</v>
      </c>
      <c r="G48" s="38" t="s">
        <v>58</v>
      </c>
      <c r="H48" s="59" t="s">
        <v>84</v>
      </c>
    </row>
    <row r="50" spans="2:8" x14ac:dyDescent="0.25">
      <c r="B50" s="94" t="s">
        <v>85</v>
      </c>
      <c r="C50" s="24" t="s">
        <v>41</v>
      </c>
      <c r="D50" s="16" t="s">
        <v>42</v>
      </c>
      <c r="E50" s="16" t="s">
        <v>43</v>
      </c>
      <c r="F50" s="25" t="s">
        <v>44</v>
      </c>
      <c r="G50" s="35" t="s">
        <v>56</v>
      </c>
      <c r="H50" s="71" t="s">
        <v>86</v>
      </c>
    </row>
    <row r="51" spans="2:8" x14ac:dyDescent="0.25">
      <c r="B51" s="75" t="s">
        <v>53</v>
      </c>
      <c r="C51" s="76">
        <v>87905</v>
      </c>
      <c r="D51" s="77">
        <v>15643</v>
      </c>
      <c r="E51" s="77">
        <v>704</v>
      </c>
      <c r="F51" s="78">
        <v>4121</v>
      </c>
      <c r="G51" s="36" t="s">
        <v>88</v>
      </c>
      <c r="H51" s="41" t="s">
        <v>64</v>
      </c>
    </row>
    <row r="52" spans="2:8" x14ac:dyDescent="0.25">
      <c r="B52" s="79" t="s">
        <v>23</v>
      </c>
      <c r="C52" s="105">
        <v>1085</v>
      </c>
      <c r="D52" s="80">
        <v>7643</v>
      </c>
      <c r="E52" s="80">
        <v>440</v>
      </c>
      <c r="F52" s="81">
        <v>3172</v>
      </c>
      <c r="G52" s="37" t="s">
        <v>58</v>
      </c>
      <c r="H52" s="42" t="s">
        <v>65</v>
      </c>
    </row>
    <row r="53" spans="2:8" x14ac:dyDescent="0.25">
      <c r="B53" s="82" t="s">
        <v>24</v>
      </c>
      <c r="C53" s="83">
        <v>48050</v>
      </c>
      <c r="D53" s="84">
        <v>4498</v>
      </c>
      <c r="E53" s="84">
        <v>389</v>
      </c>
      <c r="F53" s="85">
        <v>1144</v>
      </c>
      <c r="G53" s="95" t="s">
        <v>87</v>
      </c>
      <c r="H53" s="43" t="s">
        <v>66</v>
      </c>
    </row>
    <row r="54" spans="2:8" x14ac:dyDescent="0.25">
      <c r="B54" s="86" t="s">
        <v>25</v>
      </c>
      <c r="C54" s="126">
        <v>0</v>
      </c>
      <c r="D54" s="127">
        <v>23</v>
      </c>
      <c r="E54" s="127">
        <v>87</v>
      </c>
      <c r="F54" s="128">
        <v>897</v>
      </c>
      <c r="G54" s="35" t="s">
        <v>58</v>
      </c>
      <c r="H54" s="44" t="s">
        <v>67</v>
      </c>
    </row>
    <row r="55" spans="2:8" x14ac:dyDescent="0.25">
      <c r="B55" s="87" t="s">
        <v>26</v>
      </c>
      <c r="C55" s="129">
        <v>0</v>
      </c>
      <c r="D55" s="130">
        <v>0</v>
      </c>
      <c r="E55" s="130">
        <v>80</v>
      </c>
      <c r="F55" s="131">
        <v>635</v>
      </c>
      <c r="G55" s="39" t="s">
        <v>58</v>
      </c>
      <c r="H55" s="45" t="s">
        <v>68</v>
      </c>
    </row>
    <row r="56" spans="2:8" x14ac:dyDescent="0.25">
      <c r="B56" s="87" t="s">
        <v>27</v>
      </c>
      <c r="C56" s="129">
        <v>18136</v>
      </c>
      <c r="D56" s="130">
        <v>3144</v>
      </c>
      <c r="E56" s="130">
        <v>165</v>
      </c>
      <c r="F56" s="131">
        <v>37</v>
      </c>
      <c r="G56" s="39" t="s">
        <v>58</v>
      </c>
      <c r="H56" s="45" t="s">
        <v>69</v>
      </c>
    </row>
    <row r="57" spans="2:8" x14ac:dyDescent="0.25">
      <c r="B57" s="82" t="s">
        <v>28</v>
      </c>
      <c r="C57" s="132">
        <v>39836</v>
      </c>
      <c r="D57" s="133">
        <v>1134</v>
      </c>
      <c r="E57" s="133">
        <v>7</v>
      </c>
      <c r="F57" s="134">
        <v>3</v>
      </c>
      <c r="G57" s="38" t="s">
        <v>58</v>
      </c>
      <c r="H57" s="43" t="s">
        <v>70</v>
      </c>
    </row>
    <row r="58" spans="2:8" x14ac:dyDescent="0.25">
      <c r="B58" s="87" t="s">
        <v>29</v>
      </c>
      <c r="C58" s="83">
        <v>59600</v>
      </c>
      <c r="D58" s="84">
        <v>2697</v>
      </c>
      <c r="E58" s="84">
        <v>449</v>
      </c>
      <c r="F58" s="85">
        <v>2155</v>
      </c>
      <c r="G58" s="39" t="s">
        <v>58</v>
      </c>
      <c r="H58" s="45" t="s">
        <v>71</v>
      </c>
    </row>
    <row r="59" spans="2:8" x14ac:dyDescent="0.25">
      <c r="B59" s="87" t="s">
        <v>30</v>
      </c>
      <c r="C59" s="83">
        <v>55278</v>
      </c>
      <c r="D59" s="84">
        <v>9266</v>
      </c>
      <c r="E59" s="84">
        <v>257</v>
      </c>
      <c r="F59" s="138">
        <v>0</v>
      </c>
      <c r="G59" s="39" t="s">
        <v>58</v>
      </c>
      <c r="H59" s="45" t="s">
        <v>72</v>
      </c>
    </row>
    <row r="60" spans="2:8" x14ac:dyDescent="0.25">
      <c r="B60" s="75" t="s">
        <v>45</v>
      </c>
      <c r="C60" s="76">
        <v>55437</v>
      </c>
      <c r="D60" s="77">
        <v>11904</v>
      </c>
      <c r="E60" s="77">
        <v>225</v>
      </c>
      <c r="F60" s="78">
        <v>1567</v>
      </c>
      <c r="G60" s="36" t="s">
        <v>88</v>
      </c>
      <c r="H60" s="41" t="s">
        <v>73</v>
      </c>
    </row>
    <row r="61" spans="2:8" x14ac:dyDescent="0.25">
      <c r="B61" s="86" t="s">
        <v>31</v>
      </c>
      <c r="C61" s="88">
        <v>35195</v>
      </c>
      <c r="D61" s="89">
        <v>6379</v>
      </c>
      <c r="E61" s="89">
        <v>95</v>
      </c>
      <c r="F61" s="90">
        <v>1101</v>
      </c>
      <c r="G61" s="35" t="s">
        <v>58</v>
      </c>
      <c r="H61" s="63" t="s">
        <v>74</v>
      </c>
    </row>
    <row r="62" spans="2:8" x14ac:dyDescent="0.25">
      <c r="B62" s="87" t="s">
        <v>32</v>
      </c>
      <c r="C62" s="83">
        <v>42191</v>
      </c>
      <c r="D62" s="139">
        <v>7301</v>
      </c>
      <c r="E62" s="139">
        <v>18</v>
      </c>
      <c r="F62" s="138">
        <v>667</v>
      </c>
      <c r="G62" s="39" t="s">
        <v>58</v>
      </c>
      <c r="H62" s="64" t="s">
        <v>75</v>
      </c>
    </row>
    <row r="63" spans="2:8" x14ac:dyDescent="0.25">
      <c r="B63" s="82" t="s">
        <v>33</v>
      </c>
      <c r="C63" s="91">
        <v>40957</v>
      </c>
      <c r="D63" s="92">
        <v>8292</v>
      </c>
      <c r="E63" s="92">
        <v>189</v>
      </c>
      <c r="F63" s="93">
        <v>1219</v>
      </c>
      <c r="G63" s="38" t="s">
        <v>58</v>
      </c>
      <c r="H63" s="59" t="s">
        <v>76</v>
      </c>
    </row>
    <row r="64" spans="2:8" x14ac:dyDescent="0.25">
      <c r="B64" s="75" t="s">
        <v>48</v>
      </c>
      <c r="C64" s="76">
        <v>53546</v>
      </c>
      <c r="D64" s="77">
        <v>11756</v>
      </c>
      <c r="E64" s="77">
        <v>539</v>
      </c>
      <c r="F64" s="78">
        <v>1884</v>
      </c>
      <c r="G64" s="36" t="s">
        <v>88</v>
      </c>
      <c r="H64" s="41" t="s">
        <v>10</v>
      </c>
    </row>
    <row r="65" spans="2:8" x14ac:dyDescent="0.25">
      <c r="B65" s="87" t="s">
        <v>34</v>
      </c>
      <c r="C65" s="139">
        <v>272</v>
      </c>
      <c r="D65" s="84">
        <v>3476</v>
      </c>
      <c r="E65" s="84">
        <v>156</v>
      </c>
      <c r="F65" s="85">
        <v>950</v>
      </c>
      <c r="G65" s="39" t="s">
        <v>58</v>
      </c>
      <c r="H65" s="45" t="s">
        <v>78</v>
      </c>
    </row>
    <row r="66" spans="2:8" x14ac:dyDescent="0.25">
      <c r="B66" s="87" t="s">
        <v>35</v>
      </c>
      <c r="C66" s="83">
        <v>18866</v>
      </c>
      <c r="D66" s="84">
        <v>1084</v>
      </c>
      <c r="E66" s="84">
        <v>61</v>
      </c>
      <c r="F66" s="85">
        <v>236</v>
      </c>
      <c r="G66" s="39" t="s">
        <v>58</v>
      </c>
      <c r="H66" s="45" t="s">
        <v>79</v>
      </c>
    </row>
    <row r="67" spans="2:8" x14ac:dyDescent="0.25">
      <c r="B67" s="87" t="s">
        <v>36</v>
      </c>
      <c r="C67" s="83">
        <v>37219</v>
      </c>
      <c r="D67" s="84">
        <v>3024</v>
      </c>
      <c r="E67" s="84">
        <v>453</v>
      </c>
      <c r="F67" s="85">
        <v>1084</v>
      </c>
      <c r="G67" s="39" t="s">
        <v>58</v>
      </c>
      <c r="H67" s="45" t="s">
        <v>80</v>
      </c>
    </row>
    <row r="68" spans="2:8" x14ac:dyDescent="0.25">
      <c r="B68" s="87" t="s">
        <v>37</v>
      </c>
      <c r="C68" s="83">
        <v>12729</v>
      </c>
      <c r="D68" s="84">
        <v>976</v>
      </c>
      <c r="E68" s="84">
        <v>90</v>
      </c>
      <c r="F68" s="85">
        <v>140</v>
      </c>
      <c r="G68" s="39" t="s">
        <v>58</v>
      </c>
      <c r="H68" s="45" t="s">
        <v>81</v>
      </c>
    </row>
    <row r="69" spans="2:8" x14ac:dyDescent="0.25">
      <c r="B69" s="87" t="s">
        <v>38</v>
      </c>
      <c r="C69" s="83">
        <v>36630</v>
      </c>
      <c r="D69" s="84">
        <v>6415</v>
      </c>
      <c r="E69" s="139">
        <v>80</v>
      </c>
      <c r="F69" s="138">
        <v>36</v>
      </c>
      <c r="G69" s="39" t="s">
        <v>58</v>
      </c>
      <c r="H69" s="45" t="s">
        <v>82</v>
      </c>
    </row>
    <row r="70" spans="2:8" x14ac:dyDescent="0.25">
      <c r="B70" s="75" t="s">
        <v>49</v>
      </c>
      <c r="C70" s="76">
        <v>47131</v>
      </c>
      <c r="D70" s="77">
        <v>9526</v>
      </c>
      <c r="E70" s="77">
        <v>527</v>
      </c>
      <c r="F70" s="78">
        <v>1549</v>
      </c>
      <c r="G70" s="36" t="s">
        <v>88</v>
      </c>
      <c r="H70" s="46" t="s">
        <v>77</v>
      </c>
    </row>
    <row r="71" spans="2:8" x14ac:dyDescent="0.25">
      <c r="B71" s="86" t="s">
        <v>39</v>
      </c>
      <c r="C71" s="126">
        <v>40914</v>
      </c>
      <c r="D71" s="127">
        <v>4458</v>
      </c>
      <c r="E71" s="127">
        <v>458</v>
      </c>
      <c r="F71" s="128">
        <v>1413</v>
      </c>
      <c r="G71" s="35" t="s">
        <v>58</v>
      </c>
      <c r="H71" s="44" t="s">
        <v>83</v>
      </c>
    </row>
    <row r="72" spans="2:8" x14ac:dyDescent="0.25">
      <c r="B72" s="82" t="s">
        <v>40</v>
      </c>
      <c r="C72" s="132">
        <v>46068</v>
      </c>
      <c r="D72" s="133">
        <v>9325</v>
      </c>
      <c r="E72" s="133">
        <v>439</v>
      </c>
      <c r="F72" s="134">
        <v>1360</v>
      </c>
      <c r="G72" s="38" t="s">
        <v>58</v>
      </c>
      <c r="H72" s="59" t="s">
        <v>84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E5C7-F771-4575-8749-B7F1228ED1B3}">
  <dimension ref="A1:G35"/>
  <sheetViews>
    <sheetView workbookViewId="0">
      <selection activeCell="A28" sqref="A28"/>
    </sheetView>
  </sheetViews>
  <sheetFormatPr defaultRowHeight="15" x14ac:dyDescent="0.25"/>
  <cols>
    <col min="1" max="1" width="50.42578125" bestFit="1" customWidth="1"/>
    <col min="2" max="2" width="8.85546875" style="8" bestFit="1" customWidth="1"/>
    <col min="3" max="3" width="13.5703125" style="5" bestFit="1" customWidth="1"/>
    <col min="4" max="4" width="15.85546875" style="5" bestFit="1" customWidth="1"/>
    <col min="5" max="5" width="18.140625" style="5" bestFit="1" customWidth="1"/>
    <col min="6" max="6" width="15.85546875" style="5" bestFit="1" customWidth="1"/>
    <col min="7" max="7" width="40.42578125" style="11" customWidth="1"/>
  </cols>
  <sheetData>
    <row r="1" spans="1:7" x14ac:dyDescent="0.25">
      <c r="B1" s="8" t="s">
        <v>56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7" s="7" customFormat="1" x14ac:dyDescent="0.25">
      <c r="A2" s="7" t="s">
        <v>53</v>
      </c>
      <c r="B2" s="10" t="s">
        <v>57</v>
      </c>
      <c r="C2" s="10"/>
      <c r="D2" s="10"/>
      <c r="E2" s="10"/>
      <c r="F2" s="10"/>
      <c r="G2" s="12" t="s">
        <v>0</v>
      </c>
    </row>
    <row r="3" spans="1:7" s="11" customFormat="1" x14ac:dyDescent="0.25">
      <c r="A3" s="11" t="s">
        <v>23</v>
      </c>
      <c r="B3" s="9" t="s">
        <v>58</v>
      </c>
      <c r="C3" s="9" t="s">
        <v>54</v>
      </c>
      <c r="D3" s="9" t="s">
        <v>47</v>
      </c>
      <c r="E3" s="9" t="s">
        <v>47</v>
      </c>
      <c r="F3" s="9" t="s">
        <v>47</v>
      </c>
      <c r="G3" s="11" t="s">
        <v>16</v>
      </c>
    </row>
    <row r="4" spans="1:7" s="11" customFormat="1" x14ac:dyDescent="0.25">
      <c r="A4" s="11" t="s">
        <v>24</v>
      </c>
      <c r="B4" s="9" t="s">
        <v>58</v>
      </c>
      <c r="C4" s="9" t="s">
        <v>47</v>
      </c>
      <c r="D4" s="9" t="s">
        <v>47</v>
      </c>
      <c r="E4" s="9" t="s">
        <v>47</v>
      </c>
      <c r="F4" s="9" t="s">
        <v>47</v>
      </c>
      <c r="G4" s="11" t="s">
        <v>1</v>
      </c>
    </row>
    <row r="5" spans="1:7" s="11" customFormat="1" x14ac:dyDescent="0.25">
      <c r="A5" s="11" t="s">
        <v>25</v>
      </c>
      <c r="B5" s="9" t="s">
        <v>58</v>
      </c>
      <c r="C5" s="9"/>
      <c r="D5" s="9"/>
      <c r="E5" s="9"/>
      <c r="F5" s="9"/>
      <c r="G5" s="11" t="s">
        <v>59</v>
      </c>
    </row>
    <row r="6" spans="1:7" s="11" customFormat="1" x14ac:dyDescent="0.25">
      <c r="A6" s="11" t="s">
        <v>26</v>
      </c>
      <c r="B6" s="9" t="s">
        <v>58</v>
      </c>
      <c r="C6" s="9"/>
      <c r="D6" s="9"/>
      <c r="E6" s="9"/>
      <c r="F6" s="9"/>
      <c r="G6" s="11" t="s">
        <v>59</v>
      </c>
    </row>
    <row r="7" spans="1:7" s="11" customFormat="1" x14ac:dyDescent="0.25">
      <c r="A7" s="11" t="s">
        <v>27</v>
      </c>
      <c r="B7" s="9" t="s">
        <v>58</v>
      </c>
      <c r="C7" s="9"/>
      <c r="D7" s="9"/>
      <c r="E7" s="9"/>
      <c r="F7" s="9"/>
      <c r="G7" s="11" t="s">
        <v>59</v>
      </c>
    </row>
    <row r="8" spans="1:7" s="11" customFormat="1" x14ac:dyDescent="0.25">
      <c r="A8" s="11" t="s">
        <v>28</v>
      </c>
      <c r="B8" s="9" t="s">
        <v>58</v>
      </c>
      <c r="C8" s="9"/>
      <c r="D8" s="9"/>
      <c r="E8" s="9"/>
      <c r="F8" s="9"/>
      <c r="G8" s="11" t="s">
        <v>59</v>
      </c>
    </row>
    <row r="9" spans="1:7" s="11" customFormat="1" x14ac:dyDescent="0.25">
      <c r="A9" s="11" t="s">
        <v>29</v>
      </c>
      <c r="B9" s="9" t="s">
        <v>58</v>
      </c>
      <c r="C9" s="9" t="s">
        <v>47</v>
      </c>
      <c r="D9" s="9" t="s">
        <v>47</v>
      </c>
      <c r="E9" s="9" t="s">
        <v>47</v>
      </c>
      <c r="F9" s="9" t="s">
        <v>47</v>
      </c>
      <c r="G9" s="11" t="s">
        <v>2</v>
      </c>
    </row>
    <row r="10" spans="1:7" s="11" customFormat="1" x14ac:dyDescent="0.25">
      <c r="A10" s="11" t="s">
        <v>30</v>
      </c>
      <c r="B10" s="9" t="s">
        <v>58</v>
      </c>
      <c r="C10" s="9" t="s">
        <v>47</v>
      </c>
      <c r="D10" s="9" t="s">
        <v>47</v>
      </c>
      <c r="E10" s="9" t="s">
        <v>47</v>
      </c>
      <c r="F10" s="9" t="s">
        <v>46</v>
      </c>
      <c r="G10" s="11" t="s">
        <v>3</v>
      </c>
    </row>
    <row r="11" spans="1:7" s="7" customFormat="1" x14ac:dyDescent="0.25">
      <c r="A11" s="7" t="s">
        <v>45</v>
      </c>
      <c r="B11" s="10" t="s">
        <v>57</v>
      </c>
      <c r="C11" s="10"/>
      <c r="D11" s="10"/>
      <c r="E11" s="10"/>
      <c r="F11" s="10"/>
      <c r="G11" s="12" t="s">
        <v>4</v>
      </c>
    </row>
    <row r="12" spans="1:7" x14ac:dyDescent="0.25">
      <c r="A12" t="s">
        <v>31</v>
      </c>
      <c r="B12" s="8" t="s">
        <v>58</v>
      </c>
      <c r="C12" s="5" t="s">
        <v>47</v>
      </c>
      <c r="D12" s="5" t="s">
        <v>47</v>
      </c>
      <c r="E12" s="5" t="s">
        <v>47</v>
      </c>
      <c r="F12" s="5" t="s">
        <v>47</v>
      </c>
      <c r="G12" s="11" t="s">
        <v>59</v>
      </c>
    </row>
    <row r="13" spans="1:7" x14ac:dyDescent="0.25">
      <c r="B13" s="8" t="s">
        <v>57</v>
      </c>
      <c r="C13" s="5" t="s">
        <v>47</v>
      </c>
      <c r="D13" s="5" t="s">
        <v>47</v>
      </c>
      <c r="E13" s="5" t="s">
        <v>46</v>
      </c>
      <c r="F13" s="5" t="s">
        <v>46</v>
      </c>
      <c r="G13" s="11" t="s">
        <v>5</v>
      </c>
    </row>
    <row r="14" spans="1:7" x14ac:dyDescent="0.25">
      <c r="B14" s="8" t="s">
        <v>57</v>
      </c>
      <c r="C14" s="5" t="s">
        <v>47</v>
      </c>
      <c r="D14" s="5" t="s">
        <v>47</v>
      </c>
      <c r="E14" s="5" t="s">
        <v>46</v>
      </c>
      <c r="F14" s="5" t="s">
        <v>46</v>
      </c>
      <c r="G14" s="11" t="s">
        <v>6</v>
      </c>
    </row>
    <row r="15" spans="1:7" x14ac:dyDescent="0.25">
      <c r="B15" s="8" t="s">
        <v>57</v>
      </c>
      <c r="C15" s="5" t="s">
        <v>46</v>
      </c>
      <c r="D15" s="5" t="s">
        <v>47</v>
      </c>
      <c r="E15" s="5" t="s">
        <v>46</v>
      </c>
      <c r="F15" s="5" t="s">
        <v>46</v>
      </c>
      <c r="G15" s="11" t="s">
        <v>17</v>
      </c>
    </row>
    <row r="16" spans="1:7" x14ac:dyDescent="0.25">
      <c r="B16" s="8" t="s">
        <v>57</v>
      </c>
      <c r="C16" s="5" t="s">
        <v>47</v>
      </c>
      <c r="D16" s="5" t="s">
        <v>47</v>
      </c>
      <c r="E16" s="5" t="s">
        <v>46</v>
      </c>
      <c r="F16" s="5" t="s">
        <v>46</v>
      </c>
      <c r="G16" s="11" t="s">
        <v>7</v>
      </c>
    </row>
    <row r="17" spans="1:7" x14ac:dyDescent="0.25">
      <c r="B17" s="8" t="s">
        <v>57</v>
      </c>
      <c r="C17" s="5" t="s">
        <v>46</v>
      </c>
      <c r="D17" s="5" t="s">
        <v>46</v>
      </c>
      <c r="E17" s="5" t="s">
        <v>47</v>
      </c>
      <c r="F17" s="5" t="s">
        <v>47</v>
      </c>
      <c r="G17" s="11" t="s">
        <v>19</v>
      </c>
    </row>
    <row r="18" spans="1:7" x14ac:dyDescent="0.25">
      <c r="B18" s="8" t="s">
        <v>57</v>
      </c>
      <c r="C18" s="5" t="s">
        <v>46</v>
      </c>
      <c r="D18" s="5" t="s">
        <v>46</v>
      </c>
      <c r="E18" s="5" t="s">
        <v>47</v>
      </c>
      <c r="F18" s="5" t="s">
        <v>47</v>
      </c>
      <c r="G18" s="11" t="s">
        <v>21</v>
      </c>
    </row>
    <row r="19" spans="1:7" x14ac:dyDescent="0.25">
      <c r="B19" s="8" t="s">
        <v>57</v>
      </c>
      <c r="C19" s="5" t="s">
        <v>46</v>
      </c>
      <c r="D19" s="5" t="s">
        <v>46</v>
      </c>
      <c r="E19" s="5" t="s">
        <v>47</v>
      </c>
      <c r="F19" s="5" t="s">
        <v>46</v>
      </c>
      <c r="G19" s="11" t="s">
        <v>20</v>
      </c>
    </row>
    <row r="20" spans="1:7" x14ac:dyDescent="0.25">
      <c r="B20" s="8" t="s">
        <v>57</v>
      </c>
      <c r="C20" s="5" t="s">
        <v>46</v>
      </c>
      <c r="D20" s="5" t="s">
        <v>46</v>
      </c>
      <c r="E20" s="5" t="s">
        <v>46</v>
      </c>
      <c r="F20" s="5" t="s">
        <v>47</v>
      </c>
      <c r="G20" s="11" t="s">
        <v>22</v>
      </c>
    </row>
    <row r="21" spans="1:7" x14ac:dyDescent="0.25">
      <c r="A21" t="s">
        <v>32</v>
      </c>
      <c r="B21" s="8" t="s">
        <v>58</v>
      </c>
      <c r="C21" s="5" t="s">
        <v>47</v>
      </c>
      <c r="D21" s="5" t="s">
        <v>46</v>
      </c>
      <c r="E21" s="5" t="s">
        <v>46</v>
      </c>
      <c r="F21" s="5" t="s">
        <v>46</v>
      </c>
      <c r="G21" s="11" t="s">
        <v>8</v>
      </c>
    </row>
    <row r="22" spans="1:7" x14ac:dyDescent="0.25">
      <c r="A22" t="s">
        <v>33</v>
      </c>
      <c r="B22" s="8" t="s">
        <v>58</v>
      </c>
      <c r="C22" s="5" t="s">
        <v>47</v>
      </c>
      <c r="D22" s="5" t="s">
        <v>47</v>
      </c>
      <c r="E22" s="5" t="s">
        <v>47</v>
      </c>
      <c r="F22" s="5" t="s">
        <v>47</v>
      </c>
      <c r="G22" s="11" t="s">
        <v>9</v>
      </c>
    </row>
    <row r="23" spans="1:7" x14ac:dyDescent="0.25">
      <c r="B23" s="8" t="s">
        <v>57</v>
      </c>
      <c r="G23" s="11" t="s">
        <v>50</v>
      </c>
    </row>
    <row r="24" spans="1:7" x14ac:dyDescent="0.25">
      <c r="B24" s="8" t="s">
        <v>57</v>
      </c>
      <c r="G24" s="11" t="s">
        <v>51</v>
      </c>
    </row>
    <row r="25" spans="1:7" x14ac:dyDescent="0.25">
      <c r="B25" s="8" t="s">
        <v>57</v>
      </c>
      <c r="G25" s="11" t="s">
        <v>52</v>
      </c>
    </row>
    <row r="26" spans="1:7" s="7" customFormat="1" x14ac:dyDescent="0.25">
      <c r="A26" s="7" t="s">
        <v>55</v>
      </c>
      <c r="B26" s="10" t="s">
        <v>57</v>
      </c>
      <c r="C26" s="10"/>
      <c r="D26" s="10"/>
      <c r="E26" s="10"/>
      <c r="F26" s="10"/>
      <c r="G26" s="12"/>
    </row>
    <row r="27" spans="1:7" s="7" customFormat="1" x14ac:dyDescent="0.25">
      <c r="A27" s="7" t="s">
        <v>48</v>
      </c>
      <c r="B27" s="10" t="s">
        <v>57</v>
      </c>
      <c r="C27" s="10"/>
      <c r="D27" s="10"/>
      <c r="E27" s="10"/>
      <c r="F27" s="10"/>
      <c r="G27" s="12"/>
    </row>
    <row r="28" spans="1:7" x14ac:dyDescent="0.25">
      <c r="A28" t="s">
        <v>34</v>
      </c>
      <c r="B28" s="8" t="s">
        <v>58</v>
      </c>
      <c r="C28" s="5" t="s">
        <v>54</v>
      </c>
      <c r="D28" s="5" t="s">
        <v>47</v>
      </c>
      <c r="E28" s="5" t="s">
        <v>47</v>
      </c>
      <c r="F28" s="5" t="s">
        <v>47</v>
      </c>
      <c r="G28" s="11" t="s">
        <v>18</v>
      </c>
    </row>
    <row r="29" spans="1:7" x14ac:dyDescent="0.25">
      <c r="A29" t="s">
        <v>35</v>
      </c>
      <c r="B29" s="8" t="s">
        <v>58</v>
      </c>
      <c r="C29" s="5" t="s">
        <v>47</v>
      </c>
      <c r="D29" s="5" t="s">
        <v>47</v>
      </c>
      <c r="E29" s="5" t="s">
        <v>47</v>
      </c>
      <c r="F29" s="5" t="s">
        <v>47</v>
      </c>
      <c r="G29" s="11" t="s">
        <v>11</v>
      </c>
    </row>
    <row r="30" spans="1:7" x14ac:dyDescent="0.25">
      <c r="A30" t="s">
        <v>36</v>
      </c>
      <c r="B30" s="8" t="s">
        <v>58</v>
      </c>
      <c r="C30" s="5" t="s">
        <v>47</v>
      </c>
      <c r="D30" s="5" t="s">
        <v>47</v>
      </c>
      <c r="E30" s="5" t="s">
        <v>47</v>
      </c>
      <c r="F30" s="5" t="s">
        <v>47</v>
      </c>
      <c r="G30" s="11" t="s">
        <v>12</v>
      </c>
    </row>
    <row r="31" spans="1:7" x14ac:dyDescent="0.25">
      <c r="A31" t="s">
        <v>37</v>
      </c>
      <c r="B31" s="8" t="s">
        <v>58</v>
      </c>
      <c r="C31" s="5" t="s">
        <v>47</v>
      </c>
      <c r="D31" s="5" t="s">
        <v>47</v>
      </c>
      <c r="E31" s="5" t="s">
        <v>47</v>
      </c>
      <c r="F31" s="5" t="s">
        <v>47</v>
      </c>
      <c r="G31" s="11" t="s">
        <v>13</v>
      </c>
    </row>
    <row r="32" spans="1:7" x14ac:dyDescent="0.25">
      <c r="A32" t="s">
        <v>38</v>
      </c>
      <c r="B32" s="8" t="s">
        <v>58</v>
      </c>
      <c r="C32" s="5" t="s">
        <v>47</v>
      </c>
      <c r="D32" s="5" t="s">
        <v>47</v>
      </c>
      <c r="E32" s="5" t="s">
        <v>46</v>
      </c>
      <c r="F32" s="5" t="s">
        <v>46</v>
      </c>
      <c r="G32" s="11" t="s">
        <v>14</v>
      </c>
    </row>
    <row r="33" spans="1:7" s="7" customFormat="1" x14ac:dyDescent="0.25">
      <c r="A33" s="7" t="s">
        <v>49</v>
      </c>
      <c r="B33" s="10" t="s">
        <v>57</v>
      </c>
      <c r="C33" s="10" t="s">
        <v>47</v>
      </c>
      <c r="D33" s="10" t="s">
        <v>47</v>
      </c>
      <c r="E33" s="10" t="s">
        <v>47</v>
      </c>
      <c r="F33" s="10" t="s">
        <v>47</v>
      </c>
      <c r="G33" s="12" t="s">
        <v>15</v>
      </c>
    </row>
    <row r="34" spans="1:7" x14ac:dyDescent="0.25">
      <c r="A34" t="s">
        <v>39</v>
      </c>
      <c r="B34" s="8" t="s">
        <v>58</v>
      </c>
      <c r="G34" s="11" t="s">
        <v>59</v>
      </c>
    </row>
    <row r="35" spans="1:7" x14ac:dyDescent="0.25">
      <c r="A35" t="s">
        <v>40</v>
      </c>
      <c r="B35" s="8" t="s">
        <v>58</v>
      </c>
      <c r="G35" s="11" t="s">
        <v>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4474-209E-4C3C-86E7-945CD5CD3597}">
  <dimension ref="A1:D97"/>
  <sheetViews>
    <sheetView workbookViewId="0">
      <selection activeCell="H22" sqref="H22"/>
    </sheetView>
  </sheetViews>
  <sheetFormatPr defaultRowHeight="15" x14ac:dyDescent="0.25"/>
  <cols>
    <col min="1" max="1" width="35" bestFit="1" customWidth="1"/>
    <col min="2" max="2" width="25.7109375" bestFit="1" customWidth="1"/>
    <col min="3" max="3" width="10.85546875" bestFit="1" customWidth="1"/>
    <col min="4" max="4" width="9.42578125" bestFit="1" customWidth="1"/>
  </cols>
  <sheetData>
    <row r="1" spans="1:4" x14ac:dyDescent="0.25">
      <c r="A1" t="s">
        <v>97</v>
      </c>
      <c r="B1" t="s">
        <v>96</v>
      </c>
      <c r="C1" t="s">
        <v>95</v>
      </c>
      <c r="D1" t="s">
        <v>94</v>
      </c>
    </row>
    <row r="2" spans="1:4" x14ac:dyDescent="0.25">
      <c r="A2" t="s">
        <v>53</v>
      </c>
      <c r="B2" t="s">
        <v>93</v>
      </c>
      <c r="C2">
        <v>4549</v>
      </c>
      <c r="D2">
        <v>4121</v>
      </c>
    </row>
    <row r="3" spans="1:4" x14ac:dyDescent="0.25">
      <c r="A3" t="s">
        <v>53</v>
      </c>
      <c r="B3" t="s">
        <v>92</v>
      </c>
      <c r="C3">
        <v>21860</v>
      </c>
      <c r="D3">
        <v>15643</v>
      </c>
    </row>
    <row r="4" spans="1:4" x14ac:dyDescent="0.25">
      <c r="A4" t="s">
        <v>53</v>
      </c>
      <c r="B4" t="s">
        <v>91</v>
      </c>
      <c r="C4">
        <v>105583</v>
      </c>
      <c r="D4">
        <v>87905</v>
      </c>
    </row>
    <row r="5" spans="1:4" x14ac:dyDescent="0.25">
      <c r="A5" t="s">
        <v>53</v>
      </c>
      <c r="B5" t="s">
        <v>89</v>
      </c>
      <c r="C5">
        <v>839</v>
      </c>
      <c r="D5">
        <v>704</v>
      </c>
    </row>
    <row r="6" spans="1:4" x14ac:dyDescent="0.25">
      <c r="A6" t="s">
        <v>23</v>
      </c>
      <c r="B6" t="s">
        <v>93</v>
      </c>
      <c r="C6">
        <v>4549</v>
      </c>
      <c r="D6">
        <v>3172</v>
      </c>
    </row>
    <row r="7" spans="1:4" x14ac:dyDescent="0.25">
      <c r="A7" t="s">
        <v>23</v>
      </c>
      <c r="B7" t="s">
        <v>92</v>
      </c>
      <c r="C7">
        <v>21860</v>
      </c>
      <c r="D7">
        <v>7643</v>
      </c>
    </row>
    <row r="8" spans="1:4" x14ac:dyDescent="0.25">
      <c r="A8" t="s">
        <v>23</v>
      </c>
      <c r="B8" t="s">
        <v>91</v>
      </c>
      <c r="C8">
        <v>105583</v>
      </c>
      <c r="D8">
        <v>1085</v>
      </c>
    </row>
    <row r="9" spans="1:4" x14ac:dyDescent="0.25">
      <c r="A9" t="s">
        <v>23</v>
      </c>
      <c r="B9" t="s">
        <v>89</v>
      </c>
      <c r="C9">
        <v>839</v>
      </c>
      <c r="D9">
        <v>440</v>
      </c>
    </row>
    <row r="10" spans="1:4" x14ac:dyDescent="0.25">
      <c r="A10" t="s">
        <v>24</v>
      </c>
      <c r="B10" t="s">
        <v>93</v>
      </c>
      <c r="C10">
        <v>4549</v>
      </c>
      <c r="D10">
        <v>1144</v>
      </c>
    </row>
    <row r="11" spans="1:4" x14ac:dyDescent="0.25">
      <c r="A11" t="s">
        <v>24</v>
      </c>
      <c r="B11" t="s">
        <v>92</v>
      </c>
      <c r="C11">
        <v>21860</v>
      </c>
      <c r="D11">
        <v>4498</v>
      </c>
    </row>
    <row r="12" spans="1:4" x14ac:dyDescent="0.25">
      <c r="A12" t="s">
        <v>24</v>
      </c>
      <c r="B12" t="s">
        <v>91</v>
      </c>
      <c r="C12">
        <v>105583</v>
      </c>
      <c r="D12">
        <v>48050</v>
      </c>
    </row>
    <row r="13" spans="1:4" x14ac:dyDescent="0.25">
      <c r="A13" t="s">
        <v>24</v>
      </c>
      <c r="B13" t="s">
        <v>89</v>
      </c>
      <c r="C13">
        <v>839</v>
      </c>
      <c r="D13">
        <v>389</v>
      </c>
    </row>
    <row r="14" spans="1:4" x14ac:dyDescent="0.25">
      <c r="A14" t="s">
        <v>25</v>
      </c>
      <c r="B14" t="s">
        <v>93</v>
      </c>
      <c r="C14">
        <v>4549</v>
      </c>
      <c r="D14">
        <v>897</v>
      </c>
    </row>
    <row r="15" spans="1:4" x14ac:dyDescent="0.25">
      <c r="A15" t="s">
        <v>25</v>
      </c>
      <c r="B15" t="s">
        <v>92</v>
      </c>
      <c r="C15">
        <v>21860</v>
      </c>
      <c r="D15">
        <v>23</v>
      </c>
    </row>
    <row r="16" spans="1:4" x14ac:dyDescent="0.25">
      <c r="A16" t="s">
        <v>25</v>
      </c>
      <c r="B16" t="s">
        <v>91</v>
      </c>
      <c r="C16">
        <v>105583</v>
      </c>
      <c r="D16">
        <v>0</v>
      </c>
    </row>
    <row r="17" spans="1:4" x14ac:dyDescent="0.25">
      <c r="A17" t="s">
        <v>25</v>
      </c>
      <c r="B17" t="s">
        <v>89</v>
      </c>
      <c r="C17">
        <v>839</v>
      </c>
      <c r="D17">
        <v>87</v>
      </c>
    </row>
    <row r="18" spans="1:4" x14ac:dyDescent="0.25">
      <c r="A18" t="s">
        <v>26</v>
      </c>
      <c r="B18" t="s">
        <v>93</v>
      </c>
      <c r="C18">
        <v>4549</v>
      </c>
      <c r="D18">
        <v>635</v>
      </c>
    </row>
    <row r="19" spans="1:4" x14ac:dyDescent="0.25">
      <c r="A19" t="s">
        <v>26</v>
      </c>
      <c r="B19" t="s">
        <v>92</v>
      </c>
      <c r="C19">
        <v>21860</v>
      </c>
      <c r="D19">
        <v>0</v>
      </c>
    </row>
    <row r="20" spans="1:4" x14ac:dyDescent="0.25">
      <c r="A20" t="s">
        <v>26</v>
      </c>
      <c r="B20" t="s">
        <v>91</v>
      </c>
      <c r="C20">
        <v>105583</v>
      </c>
      <c r="D20">
        <v>0</v>
      </c>
    </row>
    <row r="21" spans="1:4" x14ac:dyDescent="0.25">
      <c r="A21" t="s">
        <v>26</v>
      </c>
      <c r="B21" t="s">
        <v>89</v>
      </c>
      <c r="C21">
        <v>839</v>
      </c>
      <c r="D21">
        <v>80</v>
      </c>
    </row>
    <row r="22" spans="1:4" x14ac:dyDescent="0.25">
      <c r="A22" t="s">
        <v>27</v>
      </c>
      <c r="B22" t="s">
        <v>93</v>
      </c>
      <c r="C22">
        <v>4549</v>
      </c>
      <c r="D22">
        <v>37</v>
      </c>
    </row>
    <row r="23" spans="1:4" x14ac:dyDescent="0.25">
      <c r="A23" t="s">
        <v>27</v>
      </c>
      <c r="B23" t="s">
        <v>92</v>
      </c>
      <c r="C23">
        <v>21860</v>
      </c>
      <c r="D23">
        <v>3144</v>
      </c>
    </row>
    <row r="24" spans="1:4" x14ac:dyDescent="0.25">
      <c r="A24" t="s">
        <v>27</v>
      </c>
      <c r="B24" t="s">
        <v>91</v>
      </c>
      <c r="C24">
        <v>105583</v>
      </c>
      <c r="D24">
        <v>18136</v>
      </c>
    </row>
    <row r="25" spans="1:4" x14ac:dyDescent="0.25">
      <c r="A25" t="s">
        <v>27</v>
      </c>
      <c r="B25" t="s">
        <v>89</v>
      </c>
      <c r="C25">
        <v>839</v>
      </c>
      <c r="D25">
        <v>165</v>
      </c>
    </row>
    <row r="26" spans="1:4" x14ac:dyDescent="0.25">
      <c r="A26" t="s">
        <v>28</v>
      </c>
      <c r="B26" t="s">
        <v>93</v>
      </c>
      <c r="C26">
        <v>4549</v>
      </c>
      <c r="D26">
        <v>3</v>
      </c>
    </row>
    <row r="27" spans="1:4" x14ac:dyDescent="0.25">
      <c r="A27" t="s">
        <v>28</v>
      </c>
      <c r="B27" t="s">
        <v>92</v>
      </c>
      <c r="C27">
        <v>21860</v>
      </c>
      <c r="D27">
        <v>1134</v>
      </c>
    </row>
    <row r="28" spans="1:4" x14ac:dyDescent="0.25">
      <c r="A28" t="s">
        <v>28</v>
      </c>
      <c r="B28" t="s">
        <v>91</v>
      </c>
      <c r="C28">
        <v>105583</v>
      </c>
      <c r="D28">
        <v>39836</v>
      </c>
    </row>
    <row r="29" spans="1:4" x14ac:dyDescent="0.25">
      <c r="A29" t="s">
        <v>28</v>
      </c>
      <c r="B29" t="s">
        <v>89</v>
      </c>
      <c r="C29">
        <v>839</v>
      </c>
      <c r="D29">
        <v>7</v>
      </c>
    </row>
    <row r="30" spans="1:4" x14ac:dyDescent="0.25">
      <c r="A30" t="s">
        <v>29</v>
      </c>
      <c r="B30" t="s">
        <v>93</v>
      </c>
      <c r="C30">
        <v>4549</v>
      </c>
      <c r="D30">
        <v>2155</v>
      </c>
    </row>
    <row r="31" spans="1:4" x14ac:dyDescent="0.25">
      <c r="A31" t="s">
        <v>29</v>
      </c>
      <c r="B31" t="s">
        <v>92</v>
      </c>
      <c r="C31">
        <v>21860</v>
      </c>
      <c r="D31">
        <v>2697</v>
      </c>
    </row>
    <row r="32" spans="1:4" x14ac:dyDescent="0.25">
      <c r="A32" t="s">
        <v>29</v>
      </c>
      <c r="B32" t="s">
        <v>91</v>
      </c>
      <c r="C32">
        <v>105583</v>
      </c>
      <c r="D32">
        <v>59600</v>
      </c>
    </row>
    <row r="33" spans="1:4" x14ac:dyDescent="0.25">
      <c r="A33" t="s">
        <v>29</v>
      </c>
      <c r="B33" t="s">
        <v>89</v>
      </c>
      <c r="C33">
        <v>839</v>
      </c>
      <c r="D33">
        <v>449</v>
      </c>
    </row>
    <row r="34" spans="1:4" x14ac:dyDescent="0.25">
      <c r="A34" t="s">
        <v>30</v>
      </c>
      <c r="B34" t="s">
        <v>93</v>
      </c>
      <c r="C34">
        <v>4549</v>
      </c>
      <c r="D34">
        <v>0</v>
      </c>
    </row>
    <row r="35" spans="1:4" x14ac:dyDescent="0.25">
      <c r="A35" t="s">
        <v>30</v>
      </c>
      <c r="B35" t="s">
        <v>92</v>
      </c>
      <c r="C35">
        <v>21860</v>
      </c>
      <c r="D35">
        <v>9266</v>
      </c>
    </row>
    <row r="36" spans="1:4" x14ac:dyDescent="0.25">
      <c r="A36" t="s">
        <v>30</v>
      </c>
      <c r="B36" t="s">
        <v>91</v>
      </c>
      <c r="C36">
        <v>105583</v>
      </c>
      <c r="D36">
        <v>55278</v>
      </c>
    </row>
    <row r="37" spans="1:4" x14ac:dyDescent="0.25">
      <c r="A37" t="s">
        <v>30</v>
      </c>
      <c r="B37" t="s">
        <v>89</v>
      </c>
      <c r="C37">
        <v>839</v>
      </c>
      <c r="D37">
        <v>257</v>
      </c>
    </row>
    <row r="38" spans="1:4" x14ac:dyDescent="0.25">
      <c r="A38" t="s">
        <v>45</v>
      </c>
      <c r="B38" t="s">
        <v>93</v>
      </c>
      <c r="C38">
        <v>4549</v>
      </c>
      <c r="D38">
        <v>1567</v>
      </c>
    </row>
    <row r="39" spans="1:4" x14ac:dyDescent="0.25">
      <c r="A39" t="s">
        <v>45</v>
      </c>
      <c r="B39" t="s">
        <v>92</v>
      </c>
      <c r="C39">
        <v>21860</v>
      </c>
      <c r="D39">
        <v>11904</v>
      </c>
    </row>
    <row r="40" spans="1:4" x14ac:dyDescent="0.25">
      <c r="A40" t="s">
        <v>45</v>
      </c>
      <c r="B40" t="s">
        <v>91</v>
      </c>
      <c r="C40">
        <v>105583</v>
      </c>
      <c r="D40">
        <v>55437</v>
      </c>
    </row>
    <row r="41" spans="1:4" x14ac:dyDescent="0.25">
      <c r="A41" t="s">
        <v>45</v>
      </c>
      <c r="B41" t="s">
        <v>89</v>
      </c>
      <c r="C41">
        <v>839</v>
      </c>
      <c r="D41">
        <v>225</v>
      </c>
    </row>
    <row r="42" spans="1:4" x14ac:dyDescent="0.25">
      <c r="A42" t="s">
        <v>31</v>
      </c>
      <c r="B42" t="s">
        <v>93</v>
      </c>
      <c r="C42">
        <v>4549</v>
      </c>
      <c r="D42">
        <v>1101</v>
      </c>
    </row>
    <row r="43" spans="1:4" x14ac:dyDescent="0.25">
      <c r="A43" t="s">
        <v>31</v>
      </c>
      <c r="B43" t="s">
        <v>92</v>
      </c>
      <c r="C43">
        <v>21860</v>
      </c>
      <c r="D43">
        <v>6379</v>
      </c>
    </row>
    <row r="44" spans="1:4" x14ac:dyDescent="0.25">
      <c r="A44" t="s">
        <v>31</v>
      </c>
      <c r="B44" t="s">
        <v>91</v>
      </c>
      <c r="C44">
        <v>105583</v>
      </c>
      <c r="D44">
        <v>35195</v>
      </c>
    </row>
    <row r="45" spans="1:4" x14ac:dyDescent="0.25">
      <c r="A45" t="s">
        <v>31</v>
      </c>
      <c r="B45" t="s">
        <v>89</v>
      </c>
      <c r="C45">
        <v>839</v>
      </c>
      <c r="D45">
        <v>95</v>
      </c>
    </row>
    <row r="46" spans="1:4" x14ac:dyDescent="0.25">
      <c r="A46" t="s">
        <v>32</v>
      </c>
      <c r="B46" t="s">
        <v>93</v>
      </c>
      <c r="C46">
        <v>4549</v>
      </c>
      <c r="D46">
        <v>667</v>
      </c>
    </row>
    <row r="47" spans="1:4" x14ac:dyDescent="0.25">
      <c r="A47" t="s">
        <v>32</v>
      </c>
      <c r="B47" t="s">
        <v>92</v>
      </c>
      <c r="C47">
        <v>21860</v>
      </c>
      <c r="D47">
        <v>7301</v>
      </c>
    </row>
    <row r="48" spans="1:4" x14ac:dyDescent="0.25">
      <c r="A48" t="s">
        <v>32</v>
      </c>
      <c r="B48" t="s">
        <v>91</v>
      </c>
      <c r="C48">
        <v>105583</v>
      </c>
      <c r="D48">
        <v>42191</v>
      </c>
    </row>
    <row r="49" spans="1:4" x14ac:dyDescent="0.25">
      <c r="A49" t="s">
        <v>32</v>
      </c>
      <c r="B49" t="s">
        <v>89</v>
      </c>
      <c r="C49">
        <v>839</v>
      </c>
      <c r="D49">
        <v>18</v>
      </c>
    </row>
    <row r="50" spans="1:4" x14ac:dyDescent="0.25">
      <c r="A50" t="s">
        <v>33</v>
      </c>
      <c r="B50" t="s">
        <v>93</v>
      </c>
      <c r="C50">
        <v>4549</v>
      </c>
      <c r="D50">
        <v>1219</v>
      </c>
    </row>
    <row r="51" spans="1:4" x14ac:dyDescent="0.25">
      <c r="A51" t="s">
        <v>33</v>
      </c>
      <c r="B51" t="s">
        <v>92</v>
      </c>
      <c r="C51">
        <v>21860</v>
      </c>
      <c r="D51">
        <v>8292</v>
      </c>
    </row>
    <row r="52" spans="1:4" x14ac:dyDescent="0.25">
      <c r="A52" t="s">
        <v>33</v>
      </c>
      <c r="B52" t="s">
        <v>91</v>
      </c>
      <c r="C52">
        <v>105583</v>
      </c>
      <c r="D52">
        <v>40957</v>
      </c>
    </row>
    <row r="53" spans="1:4" x14ac:dyDescent="0.25">
      <c r="A53" t="s">
        <v>33</v>
      </c>
      <c r="B53" t="s">
        <v>89</v>
      </c>
      <c r="C53">
        <v>839</v>
      </c>
      <c r="D53">
        <v>189</v>
      </c>
    </row>
    <row r="54" spans="1:4" x14ac:dyDescent="0.25">
      <c r="A54" t="s">
        <v>55</v>
      </c>
      <c r="B54" t="s">
        <v>93</v>
      </c>
      <c r="C54">
        <v>4549</v>
      </c>
      <c r="D54">
        <v>2630</v>
      </c>
    </row>
    <row r="55" spans="1:4" x14ac:dyDescent="0.25">
      <c r="A55" t="s">
        <v>55</v>
      </c>
      <c r="B55" t="s">
        <v>92</v>
      </c>
      <c r="C55">
        <v>21860</v>
      </c>
      <c r="D55">
        <v>12571</v>
      </c>
    </row>
    <row r="56" spans="1:4" x14ac:dyDescent="0.25">
      <c r="A56" t="s">
        <v>55</v>
      </c>
      <c r="B56" t="s">
        <v>91</v>
      </c>
      <c r="C56">
        <v>105583</v>
      </c>
      <c r="D56">
        <v>64882</v>
      </c>
    </row>
    <row r="57" spans="1:4" x14ac:dyDescent="0.25">
      <c r="A57" t="s">
        <v>55</v>
      </c>
      <c r="B57" t="s">
        <v>89</v>
      </c>
      <c r="C57">
        <v>839</v>
      </c>
      <c r="D57">
        <v>595</v>
      </c>
    </row>
    <row r="58" spans="1:4" x14ac:dyDescent="0.25">
      <c r="A58" t="s">
        <v>48</v>
      </c>
      <c r="B58" t="s">
        <v>93</v>
      </c>
      <c r="C58">
        <v>4549</v>
      </c>
      <c r="D58">
        <v>1884</v>
      </c>
    </row>
    <row r="59" spans="1:4" x14ac:dyDescent="0.25">
      <c r="A59" t="s">
        <v>48</v>
      </c>
      <c r="B59" t="s">
        <v>92</v>
      </c>
      <c r="C59">
        <v>21860</v>
      </c>
      <c r="D59">
        <v>11756</v>
      </c>
    </row>
    <row r="60" spans="1:4" x14ac:dyDescent="0.25">
      <c r="A60" t="s">
        <v>48</v>
      </c>
      <c r="B60" t="s">
        <v>91</v>
      </c>
      <c r="C60">
        <v>105583</v>
      </c>
      <c r="D60">
        <v>53546</v>
      </c>
    </row>
    <row r="61" spans="1:4" x14ac:dyDescent="0.25">
      <c r="A61" t="s">
        <v>48</v>
      </c>
      <c r="B61" t="s">
        <v>89</v>
      </c>
      <c r="C61">
        <v>839</v>
      </c>
      <c r="D61">
        <v>539</v>
      </c>
    </row>
    <row r="62" spans="1:4" x14ac:dyDescent="0.25">
      <c r="A62" t="s">
        <v>34</v>
      </c>
      <c r="B62" t="s">
        <v>93</v>
      </c>
      <c r="C62">
        <v>4549</v>
      </c>
      <c r="D62">
        <v>950</v>
      </c>
    </row>
    <row r="63" spans="1:4" x14ac:dyDescent="0.25">
      <c r="A63" t="s">
        <v>34</v>
      </c>
      <c r="B63" t="s">
        <v>92</v>
      </c>
      <c r="C63">
        <v>21860</v>
      </c>
      <c r="D63">
        <v>3476</v>
      </c>
    </row>
    <row r="64" spans="1:4" x14ac:dyDescent="0.25">
      <c r="A64" t="s">
        <v>34</v>
      </c>
      <c r="B64" t="s">
        <v>91</v>
      </c>
      <c r="C64">
        <v>105583</v>
      </c>
      <c r="D64">
        <v>272</v>
      </c>
    </row>
    <row r="65" spans="1:4" x14ac:dyDescent="0.25">
      <c r="A65" t="s">
        <v>34</v>
      </c>
      <c r="B65" t="s">
        <v>89</v>
      </c>
      <c r="C65">
        <v>839</v>
      </c>
      <c r="D65">
        <v>156</v>
      </c>
    </row>
    <row r="66" spans="1:4" x14ac:dyDescent="0.25">
      <c r="A66" t="s">
        <v>35</v>
      </c>
      <c r="B66" t="s">
        <v>93</v>
      </c>
      <c r="C66">
        <v>4549</v>
      </c>
      <c r="D66">
        <v>236</v>
      </c>
    </row>
    <row r="67" spans="1:4" x14ac:dyDescent="0.25">
      <c r="A67" t="s">
        <v>35</v>
      </c>
      <c r="B67" t="s">
        <v>92</v>
      </c>
      <c r="C67">
        <v>21860</v>
      </c>
      <c r="D67">
        <v>1084</v>
      </c>
    </row>
    <row r="68" spans="1:4" x14ac:dyDescent="0.25">
      <c r="A68" t="s">
        <v>35</v>
      </c>
      <c r="B68" t="s">
        <v>91</v>
      </c>
      <c r="C68">
        <v>105583</v>
      </c>
      <c r="D68">
        <v>18866</v>
      </c>
    </row>
    <row r="69" spans="1:4" x14ac:dyDescent="0.25">
      <c r="A69" t="s">
        <v>35</v>
      </c>
      <c r="B69" t="s">
        <v>89</v>
      </c>
      <c r="C69">
        <v>839</v>
      </c>
      <c r="D69">
        <v>61</v>
      </c>
    </row>
    <row r="70" spans="1:4" x14ac:dyDescent="0.25">
      <c r="A70" t="s">
        <v>36</v>
      </c>
      <c r="B70" t="s">
        <v>93</v>
      </c>
      <c r="C70">
        <v>4549</v>
      </c>
      <c r="D70">
        <v>1084</v>
      </c>
    </row>
    <row r="71" spans="1:4" x14ac:dyDescent="0.25">
      <c r="A71" t="s">
        <v>36</v>
      </c>
      <c r="B71" t="s">
        <v>92</v>
      </c>
      <c r="C71">
        <v>21860</v>
      </c>
      <c r="D71">
        <v>3024</v>
      </c>
    </row>
    <row r="72" spans="1:4" x14ac:dyDescent="0.25">
      <c r="A72" t="s">
        <v>36</v>
      </c>
      <c r="B72" t="s">
        <v>91</v>
      </c>
      <c r="C72">
        <v>105583</v>
      </c>
      <c r="D72">
        <v>37219</v>
      </c>
    </row>
    <row r="73" spans="1:4" x14ac:dyDescent="0.25">
      <c r="A73" t="s">
        <v>36</v>
      </c>
      <c r="B73" t="s">
        <v>89</v>
      </c>
      <c r="C73">
        <v>839</v>
      </c>
      <c r="D73">
        <v>453</v>
      </c>
    </row>
    <row r="74" spans="1:4" x14ac:dyDescent="0.25">
      <c r="A74" t="s">
        <v>37</v>
      </c>
      <c r="B74" t="s">
        <v>93</v>
      </c>
      <c r="C74">
        <v>4549</v>
      </c>
      <c r="D74">
        <v>140</v>
      </c>
    </row>
    <row r="75" spans="1:4" x14ac:dyDescent="0.25">
      <c r="A75" t="s">
        <v>37</v>
      </c>
      <c r="B75" t="s">
        <v>92</v>
      </c>
      <c r="C75">
        <v>21860</v>
      </c>
      <c r="D75">
        <v>976</v>
      </c>
    </row>
    <row r="76" spans="1:4" x14ac:dyDescent="0.25">
      <c r="A76" t="s">
        <v>37</v>
      </c>
      <c r="B76" t="s">
        <v>91</v>
      </c>
      <c r="C76">
        <v>105583</v>
      </c>
      <c r="D76">
        <v>12729</v>
      </c>
    </row>
    <row r="77" spans="1:4" x14ac:dyDescent="0.25">
      <c r="A77" t="s">
        <v>37</v>
      </c>
      <c r="B77" t="s">
        <v>89</v>
      </c>
      <c r="C77">
        <v>839</v>
      </c>
      <c r="D77">
        <v>90</v>
      </c>
    </row>
    <row r="78" spans="1:4" x14ac:dyDescent="0.25">
      <c r="A78" t="s">
        <v>38</v>
      </c>
      <c r="B78" t="s">
        <v>93</v>
      </c>
      <c r="C78">
        <v>4549</v>
      </c>
      <c r="D78">
        <v>36</v>
      </c>
    </row>
    <row r="79" spans="1:4" x14ac:dyDescent="0.25">
      <c r="A79" t="s">
        <v>38</v>
      </c>
      <c r="B79" t="s">
        <v>92</v>
      </c>
      <c r="C79">
        <v>21860</v>
      </c>
      <c r="D79">
        <v>6415</v>
      </c>
    </row>
    <row r="80" spans="1:4" x14ac:dyDescent="0.25">
      <c r="A80" t="s">
        <v>38</v>
      </c>
      <c r="B80" t="s">
        <v>91</v>
      </c>
      <c r="C80">
        <v>105583</v>
      </c>
      <c r="D80">
        <v>36630</v>
      </c>
    </row>
    <row r="81" spans="1:4" x14ac:dyDescent="0.25">
      <c r="A81" t="s">
        <v>38</v>
      </c>
      <c r="B81" t="s">
        <v>89</v>
      </c>
      <c r="C81">
        <v>839</v>
      </c>
      <c r="D81">
        <v>80</v>
      </c>
    </row>
    <row r="82" spans="1:4" x14ac:dyDescent="0.25">
      <c r="A82" t="s">
        <v>49</v>
      </c>
      <c r="B82" t="s">
        <v>93</v>
      </c>
      <c r="C82">
        <v>4549</v>
      </c>
      <c r="D82">
        <v>1549</v>
      </c>
    </row>
    <row r="83" spans="1:4" x14ac:dyDescent="0.25">
      <c r="A83" t="s">
        <v>49</v>
      </c>
      <c r="B83" t="s">
        <v>92</v>
      </c>
      <c r="C83">
        <v>21860</v>
      </c>
      <c r="D83">
        <v>9526</v>
      </c>
    </row>
    <row r="84" spans="1:4" x14ac:dyDescent="0.25">
      <c r="A84" t="s">
        <v>49</v>
      </c>
      <c r="B84" t="s">
        <v>91</v>
      </c>
      <c r="C84">
        <v>105583</v>
      </c>
      <c r="D84">
        <v>47131</v>
      </c>
    </row>
    <row r="85" spans="1:4" x14ac:dyDescent="0.25">
      <c r="A85" t="s">
        <v>49</v>
      </c>
      <c r="B85" t="s">
        <v>89</v>
      </c>
      <c r="C85">
        <v>839</v>
      </c>
      <c r="D85">
        <v>527</v>
      </c>
    </row>
    <row r="86" spans="1:4" x14ac:dyDescent="0.25">
      <c r="A86" t="s">
        <v>39</v>
      </c>
      <c r="B86" t="s">
        <v>93</v>
      </c>
      <c r="C86">
        <v>4549</v>
      </c>
      <c r="D86">
        <v>1413</v>
      </c>
    </row>
    <row r="87" spans="1:4" x14ac:dyDescent="0.25">
      <c r="A87" t="s">
        <v>39</v>
      </c>
      <c r="B87" t="s">
        <v>92</v>
      </c>
      <c r="C87">
        <v>21860</v>
      </c>
      <c r="D87">
        <v>4458</v>
      </c>
    </row>
    <row r="88" spans="1:4" x14ac:dyDescent="0.25">
      <c r="A88" t="s">
        <v>39</v>
      </c>
      <c r="B88" t="s">
        <v>91</v>
      </c>
      <c r="C88">
        <v>105583</v>
      </c>
      <c r="D88">
        <v>40914</v>
      </c>
    </row>
    <row r="89" spans="1:4" x14ac:dyDescent="0.25">
      <c r="A89" t="s">
        <v>39</v>
      </c>
      <c r="B89" t="s">
        <v>89</v>
      </c>
      <c r="C89">
        <v>839</v>
      </c>
      <c r="D89">
        <v>458</v>
      </c>
    </row>
    <row r="90" spans="1:4" x14ac:dyDescent="0.25">
      <c r="A90" t="s">
        <v>40</v>
      </c>
      <c r="B90" t="s">
        <v>93</v>
      </c>
      <c r="C90">
        <v>4549</v>
      </c>
      <c r="D90">
        <v>1360</v>
      </c>
    </row>
    <row r="91" spans="1:4" x14ac:dyDescent="0.25">
      <c r="A91" t="s">
        <v>40</v>
      </c>
      <c r="B91" t="s">
        <v>92</v>
      </c>
      <c r="C91">
        <v>21860</v>
      </c>
      <c r="D91">
        <v>9325</v>
      </c>
    </row>
    <row r="92" spans="1:4" x14ac:dyDescent="0.25">
      <c r="A92" t="s">
        <v>40</v>
      </c>
      <c r="B92" t="s">
        <v>91</v>
      </c>
      <c r="C92">
        <v>105583</v>
      </c>
      <c r="D92">
        <v>46068</v>
      </c>
    </row>
    <row r="93" spans="1:4" x14ac:dyDescent="0.25">
      <c r="A93" t="s">
        <v>40</v>
      </c>
      <c r="B93" t="s">
        <v>89</v>
      </c>
      <c r="C93">
        <v>839</v>
      </c>
      <c r="D93">
        <v>439</v>
      </c>
    </row>
    <row r="94" spans="1:4" x14ac:dyDescent="0.25">
      <c r="A94" t="s">
        <v>90</v>
      </c>
      <c r="B94" t="s">
        <v>93</v>
      </c>
      <c r="C94">
        <v>4549</v>
      </c>
      <c r="D94">
        <v>1964</v>
      </c>
    </row>
    <row r="95" spans="1:4" x14ac:dyDescent="0.25">
      <c r="A95" t="s">
        <v>90</v>
      </c>
      <c r="B95" t="s">
        <v>92</v>
      </c>
      <c r="C95">
        <v>21860</v>
      </c>
      <c r="D95">
        <v>5168</v>
      </c>
    </row>
    <row r="96" spans="1:4" x14ac:dyDescent="0.25">
      <c r="A96" t="s">
        <v>90</v>
      </c>
      <c r="B96" t="s">
        <v>91</v>
      </c>
      <c r="C96">
        <v>105583</v>
      </c>
      <c r="D96">
        <v>40838</v>
      </c>
    </row>
    <row r="97" spans="1:4" x14ac:dyDescent="0.25">
      <c r="A97" t="s">
        <v>90</v>
      </c>
      <c r="B97" t="s">
        <v>89</v>
      </c>
      <c r="C97">
        <v>839</v>
      </c>
      <c r="D97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88BD-318D-47BA-B9B1-B134BB486FEA}">
  <dimension ref="A3:R28"/>
  <sheetViews>
    <sheetView workbookViewId="0">
      <selection activeCell="H22" sqref="H22"/>
    </sheetView>
  </sheetViews>
  <sheetFormatPr defaultRowHeight="15" x14ac:dyDescent="0.25"/>
  <cols>
    <col min="1" max="1" width="50.42578125" bestFit="1" customWidth="1"/>
    <col min="2" max="2" width="16.28515625" bestFit="1" customWidth="1"/>
    <col min="3" max="5" width="4.5703125" bestFit="1" customWidth="1"/>
    <col min="6" max="6" width="7.7109375" bestFit="1" customWidth="1"/>
    <col min="7" max="7" width="17.42578125" bestFit="1" customWidth="1"/>
    <col min="8" max="8" width="16.140625" bestFit="1" customWidth="1"/>
    <col min="9" max="9" width="17.42578125" bestFit="1" customWidth="1"/>
    <col min="10" max="10" width="21.140625" bestFit="1" customWidth="1"/>
    <col min="11" max="11" width="22.42578125" bestFit="1" customWidth="1"/>
    <col min="12" max="12" width="16.140625" bestFit="1" customWidth="1"/>
    <col min="13" max="13" width="17.42578125" bestFit="1" customWidth="1"/>
    <col min="14" max="14" width="22.7109375" bestFit="1" customWidth="1"/>
    <col min="15" max="15" width="21.140625" bestFit="1" customWidth="1"/>
    <col min="16" max="16" width="22.42578125" bestFit="1" customWidth="1"/>
  </cols>
  <sheetData>
    <row r="3" spans="1:18" x14ac:dyDescent="0.25">
      <c r="A3" s="101" t="s">
        <v>101</v>
      </c>
      <c r="B3" s="101" t="s">
        <v>100</v>
      </c>
    </row>
    <row r="4" spans="1:18" x14ac:dyDescent="0.25">
      <c r="A4" s="101" t="s">
        <v>99</v>
      </c>
      <c r="B4" t="s">
        <v>91</v>
      </c>
      <c r="C4" t="s">
        <v>92</v>
      </c>
      <c r="D4" t="s">
        <v>89</v>
      </c>
      <c r="E4" t="s">
        <v>93</v>
      </c>
    </row>
    <row r="5" spans="1:18" x14ac:dyDescent="0.25">
      <c r="A5" s="2" t="s">
        <v>53</v>
      </c>
      <c r="B5" s="96">
        <v>0.83256774291315838</v>
      </c>
      <c r="C5" s="96">
        <v>0.71559926806953345</v>
      </c>
      <c r="D5" s="96">
        <v>0.83909415971394519</v>
      </c>
      <c r="E5" s="96">
        <v>0.90591338755770501</v>
      </c>
      <c r="G5" s="100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spans="1:18" x14ac:dyDescent="0.25">
      <c r="A6" s="3" t="s">
        <v>23</v>
      </c>
      <c r="B6" s="97">
        <v>1.0276275536781489E-2</v>
      </c>
      <c r="C6" s="97">
        <v>0.34963403476669719</v>
      </c>
      <c r="D6" s="97">
        <v>0.52443384982121577</v>
      </c>
      <c r="E6" s="97">
        <v>0.69729610903495276</v>
      </c>
    </row>
    <row r="7" spans="1:18" x14ac:dyDescent="0.25">
      <c r="A7" s="2" t="s">
        <v>24</v>
      </c>
      <c r="B7" s="96">
        <v>0.45509220234318026</v>
      </c>
      <c r="C7" s="96">
        <v>0.20576395242451967</v>
      </c>
      <c r="D7" s="96">
        <v>0.46364719904648388</v>
      </c>
      <c r="E7" s="96">
        <v>0.25148384260276985</v>
      </c>
    </row>
    <row r="8" spans="1:18" x14ac:dyDescent="0.25">
      <c r="A8" s="2" t="s">
        <v>25</v>
      </c>
      <c r="B8" s="96">
        <v>0</v>
      </c>
      <c r="C8" s="96">
        <v>1.0521500457456542E-3</v>
      </c>
      <c r="D8" s="96">
        <v>0.10369487485101311</v>
      </c>
      <c r="E8" s="96">
        <v>0.19718619476808089</v>
      </c>
    </row>
    <row r="9" spans="1:18" x14ac:dyDescent="0.25">
      <c r="A9" s="2" t="s">
        <v>26</v>
      </c>
      <c r="B9" s="96">
        <v>0</v>
      </c>
      <c r="C9" s="96">
        <v>0</v>
      </c>
      <c r="D9" s="96">
        <v>9.5351609058402856E-2</v>
      </c>
      <c r="E9" s="96">
        <v>0.13959111892723675</v>
      </c>
    </row>
    <row r="10" spans="1:18" x14ac:dyDescent="0.25">
      <c r="A10" s="2" t="s">
        <v>27</v>
      </c>
      <c r="B10" s="96">
        <v>0.17177007662218349</v>
      </c>
      <c r="C10" s="96">
        <v>0.14382433668801464</v>
      </c>
      <c r="D10" s="96">
        <v>0.19666269368295591</v>
      </c>
      <c r="E10" s="96">
        <v>8.1336557485161571E-3</v>
      </c>
    </row>
    <row r="11" spans="1:18" x14ac:dyDescent="0.25">
      <c r="A11" s="3" t="s">
        <v>28</v>
      </c>
      <c r="B11" s="97">
        <v>0.37729558735781327</v>
      </c>
      <c r="C11" s="97">
        <v>5.1875571820677036E-2</v>
      </c>
      <c r="D11" s="97">
        <v>8.3432657926102508E-3</v>
      </c>
      <c r="E11" s="97">
        <v>6.594856012310398E-4</v>
      </c>
    </row>
    <row r="12" spans="1:18" x14ac:dyDescent="0.25">
      <c r="A12" s="3" t="s">
        <v>29</v>
      </c>
      <c r="B12" s="97">
        <v>0.56448481289601549</v>
      </c>
      <c r="C12" s="97">
        <v>0.12337602927721866</v>
      </c>
      <c r="D12" s="97">
        <v>0.53516090584028608</v>
      </c>
      <c r="E12" s="97">
        <v>0.47373049021763025</v>
      </c>
    </row>
    <row r="13" spans="1:18" x14ac:dyDescent="0.25">
      <c r="A13" s="2" t="s">
        <v>30</v>
      </c>
      <c r="B13" s="96">
        <v>0.52355019273936143</v>
      </c>
      <c r="C13" s="96">
        <v>0.42387923147301004</v>
      </c>
      <c r="D13" s="96">
        <v>0.30631704410011917</v>
      </c>
      <c r="E13" s="96">
        <v>0</v>
      </c>
    </row>
    <row r="14" spans="1:18" x14ac:dyDescent="0.25">
      <c r="A14" s="2" t="s">
        <v>45</v>
      </c>
      <c r="B14" s="96">
        <v>0.52505611698853039</v>
      </c>
      <c r="C14" s="96">
        <v>0.54455626715462035</v>
      </c>
      <c r="D14" s="96">
        <v>0.26817640047675806</v>
      </c>
      <c r="E14" s="96">
        <v>0.34447131237634643</v>
      </c>
    </row>
    <row r="15" spans="1:18" x14ac:dyDescent="0.25">
      <c r="A15" s="1" t="s">
        <v>31</v>
      </c>
      <c r="B15" s="98">
        <v>0.3333396474811286</v>
      </c>
      <c r="C15" s="98">
        <v>0.29181152790484904</v>
      </c>
      <c r="D15" s="98">
        <v>0.11323003575685339</v>
      </c>
      <c r="E15" s="98">
        <v>0.24203121565179161</v>
      </c>
    </row>
    <row r="16" spans="1:18" x14ac:dyDescent="0.25">
      <c r="A16" s="2" t="s">
        <v>32</v>
      </c>
      <c r="B16" s="96">
        <v>0.39960031444456018</v>
      </c>
      <c r="C16" s="96">
        <v>0.33398902104300093</v>
      </c>
      <c r="D16" s="96">
        <v>2.1454112038140644E-2</v>
      </c>
      <c r="E16" s="96">
        <v>0.14662563200703452</v>
      </c>
    </row>
    <row r="17" spans="1:5" x14ac:dyDescent="0.25">
      <c r="A17" s="3" t="s">
        <v>33</v>
      </c>
      <c r="B17" s="97">
        <v>0.38791282687553869</v>
      </c>
      <c r="C17" s="97">
        <v>0.37932296431838974</v>
      </c>
      <c r="D17" s="97">
        <v>0.22526817640047675</v>
      </c>
      <c r="E17" s="97">
        <v>0.26797098263354585</v>
      </c>
    </row>
    <row r="18" spans="1:5" x14ac:dyDescent="0.25">
      <c r="A18" s="2" t="s">
        <v>55</v>
      </c>
      <c r="B18" s="96">
        <v>0.61451180587784016</v>
      </c>
      <c r="C18" s="96">
        <v>0.57506861848124424</v>
      </c>
      <c r="D18" s="96">
        <v>0.70917759237187128</v>
      </c>
      <c r="E18" s="96">
        <v>0.57814904374587817</v>
      </c>
    </row>
    <row r="19" spans="1:5" x14ac:dyDescent="0.25">
      <c r="A19" s="2" t="s">
        <v>48</v>
      </c>
      <c r="B19" s="96">
        <v>0.50714603676728265</v>
      </c>
      <c r="C19" s="96">
        <v>0.53778591033851786</v>
      </c>
      <c r="D19" s="96">
        <v>0.64243146603098922</v>
      </c>
      <c r="E19" s="96">
        <v>0.41415695757309301</v>
      </c>
    </row>
    <row r="20" spans="1:5" x14ac:dyDescent="0.25">
      <c r="A20" s="2" t="s">
        <v>34</v>
      </c>
      <c r="B20" s="96">
        <v>2.5761723004650368E-3</v>
      </c>
      <c r="C20" s="96">
        <v>0.15901189387008235</v>
      </c>
      <c r="D20" s="96">
        <v>0.18593563766388557</v>
      </c>
      <c r="E20" s="96">
        <v>0.20883710705649594</v>
      </c>
    </row>
    <row r="21" spans="1:5" x14ac:dyDescent="0.25">
      <c r="A21" s="2" t="s">
        <v>35</v>
      </c>
      <c r="B21" s="96">
        <v>0.1786840684579904</v>
      </c>
      <c r="C21" s="96">
        <v>4.9588289112534309E-2</v>
      </c>
      <c r="D21" s="96">
        <v>7.270560190703218E-2</v>
      </c>
      <c r="E21" s="96">
        <v>5.1879533963508466E-2</v>
      </c>
    </row>
    <row r="22" spans="1:5" x14ac:dyDescent="0.25">
      <c r="A22" s="2" t="s">
        <v>36</v>
      </c>
      <c r="B22" s="96">
        <v>0.35250940018753019</v>
      </c>
      <c r="C22" s="96">
        <v>0.1383348581884721</v>
      </c>
      <c r="D22" s="96">
        <v>0.53992848629320622</v>
      </c>
      <c r="E22" s="96">
        <v>0.23829413057814905</v>
      </c>
    </row>
    <row r="23" spans="1:5" x14ac:dyDescent="0.25">
      <c r="A23" s="2" t="s">
        <v>37</v>
      </c>
      <c r="B23" s="96">
        <v>0.120559180928748</v>
      </c>
      <c r="C23" s="96">
        <v>4.4647758462946018E-2</v>
      </c>
      <c r="D23" s="96">
        <v>0.10727056019070322</v>
      </c>
      <c r="E23" s="96">
        <v>3.0775994724115189E-2</v>
      </c>
    </row>
    <row r="24" spans="1:5" x14ac:dyDescent="0.25">
      <c r="A24" s="2" t="s">
        <v>38</v>
      </c>
      <c r="B24" s="96">
        <v>0.34693085061042023</v>
      </c>
      <c r="C24" s="96">
        <v>0.29345837145471182</v>
      </c>
      <c r="D24" s="96">
        <v>9.5351609058402856E-2</v>
      </c>
      <c r="E24" s="96">
        <v>7.9138272147724776E-3</v>
      </c>
    </row>
    <row r="25" spans="1:5" x14ac:dyDescent="0.25">
      <c r="A25" s="2" t="s">
        <v>49</v>
      </c>
      <c r="B25" s="96">
        <v>0.44638814960741785</v>
      </c>
      <c r="C25" s="96">
        <v>0.43577310155535226</v>
      </c>
      <c r="D25" s="96">
        <v>0.6281287246722288</v>
      </c>
      <c r="E25" s="96">
        <v>0.34051439876896022</v>
      </c>
    </row>
    <row r="26" spans="1:5" x14ac:dyDescent="0.25">
      <c r="A26" s="2" t="s">
        <v>39</v>
      </c>
      <c r="B26" s="96">
        <v>0.38750556434274458</v>
      </c>
      <c r="C26" s="96">
        <v>0.2039341262580055</v>
      </c>
      <c r="D26" s="96">
        <v>0.5458879618593564</v>
      </c>
      <c r="E26" s="96">
        <v>0.31061771817981976</v>
      </c>
    </row>
    <row r="27" spans="1:5" x14ac:dyDescent="0.25">
      <c r="A27" s="2" t="s">
        <v>40</v>
      </c>
      <c r="B27" s="96">
        <v>0.43632024094787986</v>
      </c>
      <c r="C27" s="96">
        <v>0.42657822506861848</v>
      </c>
      <c r="D27" s="96">
        <v>0.52324195470798573</v>
      </c>
      <c r="E27" s="96">
        <v>0.29896680589140473</v>
      </c>
    </row>
    <row r="28" spans="1:5" x14ac:dyDescent="0.25">
      <c r="A28" s="2" t="s">
        <v>98</v>
      </c>
      <c r="B28" s="96">
        <v>0.34669901157506827</v>
      </c>
      <c r="C28" s="96">
        <v>0.27951589164246787</v>
      </c>
      <c r="D28" s="96">
        <v>0.33699538788412708</v>
      </c>
      <c r="E28" s="96">
        <v>0.26761734542708859</v>
      </c>
    </row>
  </sheetData>
  <conditionalFormatting sqref="G5:R5">
    <cfRule type="colorScale" priority="1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A3F0-4DF9-434D-96D2-1B343917F3C0}">
  <dimension ref="A3:R26"/>
  <sheetViews>
    <sheetView workbookViewId="0">
      <selection activeCell="H22" sqref="H22"/>
    </sheetView>
  </sheetViews>
  <sheetFormatPr defaultRowHeight="15" x14ac:dyDescent="0.25"/>
  <cols>
    <col min="1" max="1" width="40.42578125" bestFit="1" customWidth="1"/>
    <col min="2" max="2" width="16.28515625" bestFit="1" customWidth="1"/>
    <col min="3" max="3" width="8" bestFit="1" customWidth="1"/>
    <col min="4" max="4" width="5.42578125" bestFit="1" customWidth="1"/>
    <col min="5" max="5" width="7" bestFit="1" customWidth="1"/>
    <col min="6" max="6" width="12.7109375" bestFit="1" customWidth="1"/>
    <col min="7" max="7" width="17.42578125" bestFit="1" customWidth="1"/>
    <col min="8" max="8" width="16.140625" bestFit="1" customWidth="1"/>
    <col min="9" max="9" width="17.42578125" bestFit="1" customWidth="1"/>
    <col min="10" max="10" width="21.140625" bestFit="1" customWidth="1"/>
    <col min="11" max="11" width="22.42578125" bestFit="1" customWidth="1"/>
    <col min="12" max="12" width="16.140625" bestFit="1" customWidth="1"/>
    <col min="13" max="13" width="17.42578125" bestFit="1" customWidth="1"/>
    <col min="14" max="14" width="22.7109375" bestFit="1" customWidth="1"/>
    <col min="15" max="15" width="21.140625" bestFit="1" customWidth="1"/>
    <col min="16" max="16" width="22.42578125" bestFit="1" customWidth="1"/>
  </cols>
  <sheetData>
    <row r="3" spans="1:18" x14ac:dyDescent="0.25">
      <c r="A3" s="101" t="s">
        <v>102</v>
      </c>
      <c r="B3" s="101" t="s">
        <v>100</v>
      </c>
    </row>
    <row r="4" spans="1:18" x14ac:dyDescent="0.25">
      <c r="A4" s="101" t="s">
        <v>99</v>
      </c>
      <c r="B4" t="s">
        <v>91</v>
      </c>
      <c r="C4" t="s">
        <v>92</v>
      </c>
      <c r="D4" t="s">
        <v>89</v>
      </c>
      <c r="E4" t="s">
        <v>93</v>
      </c>
    </row>
    <row r="5" spans="1:18" x14ac:dyDescent="0.25">
      <c r="A5" s="2" t="s">
        <v>53</v>
      </c>
      <c r="B5" s="21">
        <v>87905</v>
      </c>
      <c r="C5" s="21">
        <v>15643</v>
      </c>
      <c r="D5" s="21">
        <v>704</v>
      </c>
      <c r="E5" s="21">
        <v>4121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spans="1:18" x14ac:dyDescent="0.25">
      <c r="A6" s="3" t="s">
        <v>23</v>
      </c>
      <c r="B6" s="20">
        <v>1085</v>
      </c>
      <c r="C6" s="20">
        <v>7643</v>
      </c>
      <c r="D6" s="20">
        <v>440</v>
      </c>
      <c r="E6" s="20">
        <v>3172</v>
      </c>
    </row>
    <row r="7" spans="1:18" x14ac:dyDescent="0.25">
      <c r="A7" s="2" t="s">
        <v>24</v>
      </c>
      <c r="B7" s="21">
        <v>48050</v>
      </c>
      <c r="C7" s="21">
        <v>4498</v>
      </c>
      <c r="D7" s="21">
        <v>389</v>
      </c>
      <c r="E7" s="21">
        <v>1144</v>
      </c>
    </row>
    <row r="8" spans="1:18" x14ac:dyDescent="0.25">
      <c r="A8" s="2" t="s">
        <v>25</v>
      </c>
      <c r="B8" s="21">
        <v>0</v>
      </c>
      <c r="C8" s="21">
        <v>23</v>
      </c>
      <c r="D8" s="21">
        <v>87</v>
      </c>
      <c r="E8" s="21">
        <v>897</v>
      </c>
    </row>
    <row r="9" spans="1:18" x14ac:dyDescent="0.25">
      <c r="A9" s="2" t="s">
        <v>26</v>
      </c>
      <c r="B9" s="21">
        <v>0</v>
      </c>
      <c r="C9" s="21">
        <v>0</v>
      </c>
      <c r="D9" s="21">
        <v>80</v>
      </c>
      <c r="E9" s="21">
        <v>635</v>
      </c>
    </row>
    <row r="10" spans="1:18" x14ac:dyDescent="0.25">
      <c r="A10" s="2" t="s">
        <v>27</v>
      </c>
      <c r="B10" s="21">
        <v>18136</v>
      </c>
      <c r="C10" s="21">
        <v>3144</v>
      </c>
      <c r="D10" s="21">
        <v>165</v>
      </c>
      <c r="E10" s="21">
        <v>37</v>
      </c>
    </row>
    <row r="11" spans="1:18" x14ac:dyDescent="0.25">
      <c r="A11" s="3" t="s">
        <v>28</v>
      </c>
      <c r="B11" s="20">
        <v>39836</v>
      </c>
      <c r="C11" s="20">
        <v>1134</v>
      </c>
      <c r="D11" s="20">
        <v>7</v>
      </c>
      <c r="E11" s="20">
        <v>3</v>
      </c>
    </row>
    <row r="12" spans="1:18" x14ac:dyDescent="0.25">
      <c r="A12" s="3" t="s">
        <v>29</v>
      </c>
      <c r="B12" s="20">
        <v>59600</v>
      </c>
      <c r="C12" s="20">
        <v>2697</v>
      </c>
      <c r="D12" s="20">
        <v>449</v>
      </c>
      <c r="E12" s="20">
        <v>2155</v>
      </c>
    </row>
    <row r="13" spans="1:18" x14ac:dyDescent="0.25">
      <c r="A13" s="2" t="s">
        <v>30</v>
      </c>
      <c r="B13" s="21">
        <v>55278</v>
      </c>
      <c r="C13" s="21">
        <v>9266</v>
      </c>
      <c r="D13" s="21">
        <v>257</v>
      </c>
      <c r="E13" s="21">
        <v>0</v>
      </c>
    </row>
    <row r="14" spans="1:18" x14ac:dyDescent="0.25">
      <c r="A14" s="2" t="s">
        <v>45</v>
      </c>
      <c r="B14" s="21">
        <v>55437</v>
      </c>
      <c r="C14" s="21">
        <v>11904</v>
      </c>
      <c r="D14" s="21">
        <v>225</v>
      </c>
      <c r="E14" s="21">
        <v>1567</v>
      </c>
    </row>
    <row r="15" spans="1:18" x14ac:dyDescent="0.25">
      <c r="A15" s="1" t="s">
        <v>31</v>
      </c>
      <c r="B15" s="22">
        <v>35195</v>
      </c>
      <c r="C15" s="22">
        <v>6379</v>
      </c>
      <c r="D15" s="22">
        <v>95</v>
      </c>
      <c r="E15" s="22">
        <v>1101</v>
      </c>
    </row>
    <row r="16" spans="1:18" x14ac:dyDescent="0.25">
      <c r="A16" s="2" t="s">
        <v>32</v>
      </c>
      <c r="B16" s="21">
        <v>42191</v>
      </c>
      <c r="C16" s="21">
        <v>7301</v>
      </c>
      <c r="D16" s="21">
        <v>18</v>
      </c>
      <c r="E16" s="21">
        <v>667</v>
      </c>
    </row>
    <row r="17" spans="1:5" x14ac:dyDescent="0.25">
      <c r="A17" s="3" t="s">
        <v>33</v>
      </c>
      <c r="B17" s="20">
        <v>40957</v>
      </c>
      <c r="C17" s="20">
        <v>8292</v>
      </c>
      <c r="D17" s="20">
        <v>189</v>
      </c>
      <c r="E17" s="20">
        <v>1219</v>
      </c>
    </row>
    <row r="18" spans="1:5" x14ac:dyDescent="0.25">
      <c r="A18" s="2" t="s">
        <v>48</v>
      </c>
      <c r="B18" s="21">
        <v>53546</v>
      </c>
      <c r="C18" s="21">
        <v>11756</v>
      </c>
      <c r="D18" s="21">
        <v>539</v>
      </c>
      <c r="E18" s="21">
        <v>1884</v>
      </c>
    </row>
    <row r="19" spans="1:5" x14ac:dyDescent="0.25">
      <c r="A19" s="2" t="s">
        <v>34</v>
      </c>
      <c r="B19" s="21">
        <v>272</v>
      </c>
      <c r="C19" s="21">
        <v>3476</v>
      </c>
      <c r="D19" s="21">
        <v>156</v>
      </c>
      <c r="E19" s="21">
        <v>950</v>
      </c>
    </row>
    <row r="20" spans="1:5" x14ac:dyDescent="0.25">
      <c r="A20" s="2" t="s">
        <v>35</v>
      </c>
      <c r="B20" s="21">
        <v>18866</v>
      </c>
      <c r="C20" s="21">
        <v>1084</v>
      </c>
      <c r="D20" s="21">
        <v>61</v>
      </c>
      <c r="E20" s="21">
        <v>236</v>
      </c>
    </row>
    <row r="21" spans="1:5" x14ac:dyDescent="0.25">
      <c r="A21" s="2" t="s">
        <v>36</v>
      </c>
      <c r="B21" s="21">
        <v>37219</v>
      </c>
      <c r="C21" s="21">
        <v>3024</v>
      </c>
      <c r="D21" s="21">
        <v>453</v>
      </c>
      <c r="E21" s="21">
        <v>1084</v>
      </c>
    </row>
    <row r="22" spans="1:5" x14ac:dyDescent="0.25">
      <c r="A22" s="2" t="s">
        <v>37</v>
      </c>
      <c r="B22" s="21">
        <v>12729</v>
      </c>
      <c r="C22" s="21">
        <v>976</v>
      </c>
      <c r="D22" s="21">
        <v>90</v>
      </c>
      <c r="E22" s="21">
        <v>140</v>
      </c>
    </row>
    <row r="23" spans="1:5" x14ac:dyDescent="0.25">
      <c r="A23" s="2" t="s">
        <v>38</v>
      </c>
      <c r="B23" s="21">
        <v>36630</v>
      </c>
      <c r="C23" s="21">
        <v>6415</v>
      </c>
      <c r="D23" s="21">
        <v>80</v>
      </c>
      <c r="E23" s="21">
        <v>36</v>
      </c>
    </row>
    <row r="24" spans="1:5" x14ac:dyDescent="0.25">
      <c r="A24" s="2" t="s">
        <v>49</v>
      </c>
      <c r="B24" s="21">
        <v>47131</v>
      </c>
      <c r="C24" s="21">
        <v>9526</v>
      </c>
      <c r="D24" s="21">
        <v>527</v>
      </c>
      <c r="E24" s="21">
        <v>1549</v>
      </c>
    </row>
    <row r="25" spans="1:5" x14ac:dyDescent="0.25">
      <c r="A25" s="2" t="s">
        <v>39</v>
      </c>
      <c r="B25" s="21">
        <v>40914</v>
      </c>
      <c r="C25" s="21">
        <v>4458</v>
      </c>
      <c r="D25" s="21">
        <v>458</v>
      </c>
      <c r="E25" s="21">
        <v>1413</v>
      </c>
    </row>
    <row r="26" spans="1:5" x14ac:dyDescent="0.25">
      <c r="A26" s="2" t="s">
        <v>40</v>
      </c>
      <c r="B26" s="21">
        <v>46068</v>
      </c>
      <c r="C26" s="21">
        <v>9325</v>
      </c>
      <c r="D26" s="21">
        <v>439</v>
      </c>
      <c r="E26" s="21">
        <v>1360</v>
      </c>
    </row>
  </sheetData>
  <conditionalFormatting sqref="F5:R5 F6:F23">
    <cfRule type="colorScale" priority="1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Synthesis</vt:lpstr>
      <vt:lpstr>Text analysis</vt:lpstr>
      <vt:lpstr>QE with known status</vt:lpstr>
      <vt:lpstr>Proportion of water bodies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</cp:lastModifiedBy>
  <dcterms:created xsi:type="dcterms:W3CDTF">2026-06-05T15:06:03Z</dcterms:created>
  <dcterms:modified xsi:type="dcterms:W3CDTF">2026-06-05T17:22:19Z</dcterms:modified>
</cp:coreProperties>
</file>